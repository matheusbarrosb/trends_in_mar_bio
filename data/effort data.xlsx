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in\Papers\Students Marine Biodiversity Trends\Benthic status\"/>
    </mc:Choice>
  </mc:AlternateContent>
  <xr:revisionPtr revIDLastSave="0" documentId="13_ncr:9_{48E53395-D1C9-4C2D-ABFF-6D040E5999A5}" xr6:coauthVersionLast="47" xr6:coauthVersionMax="47" xr10:uidLastSave="{00000000-0000-0000-0000-000000000000}"/>
  <bookViews>
    <workbookView xWindow="-110" yWindow="-110" windowWidth="25820" windowHeight="15860" xr2:uid="{668DA3C7-8FBC-4F61-9027-916673AE1669}"/>
  </bookViews>
  <sheets>
    <sheet name="data" sheetId="1" r:id="rId1"/>
  </sheet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2" i="1"/>
  <c r="D3" i="1"/>
  <c r="D4" i="1"/>
  <c r="D5" i="1"/>
  <c r="D6" i="1"/>
  <c r="D7" i="1"/>
  <c r="D8" i="1"/>
  <c r="D9" i="1"/>
  <c r="D10" i="1"/>
  <c r="D11" i="1"/>
  <c r="D12" i="1"/>
  <c r="D13" i="1"/>
  <c r="D2" i="1"/>
</calcChain>
</file>

<file path=xl/sharedStrings.xml><?xml version="1.0" encoding="utf-8"?>
<sst xmlns="http://schemas.openxmlformats.org/spreadsheetml/2006/main" count="4" uniqueCount="4">
  <si>
    <t>x</t>
  </si>
  <si>
    <t xml:space="preserve"> y</t>
  </si>
  <si>
    <t>year</t>
  </si>
  <si>
    <t>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</si>
</sst>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numFmt formatCode="0.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data!$A$2:$A$13</c:f>
              <c:numCache>
                <c:formatCode>General</c:formatCode>
                <c:ptCount val="12"/>
                <c:pt idx="0">
                  <c:v>0.21352313166994463</c:v>
                </c:pt>
                <c:pt idx="1">
                  <c:v>7.3309630261599068</c:v>
                </c:pt>
                <c:pt idx="2">
                  <c:v>13.523133844659924</c:v>
                </c:pt>
                <c:pt idx="3">
                  <c:v>20.000004344130048</c:v>
                </c:pt>
                <c:pt idx="4">
                  <c:v>23.202851319219917</c:v>
                </c:pt>
                <c:pt idx="5">
                  <c:v>27.758007117429997</c:v>
                </c:pt>
                <c:pt idx="6">
                  <c:v>31.103207191109959</c:v>
                </c:pt>
                <c:pt idx="7">
                  <c:v>35.587192956229956</c:v>
                </c:pt>
                <c:pt idx="8">
                  <c:v>40.000002172060022</c:v>
                </c:pt>
                <c:pt idx="9">
                  <c:v>49.750889679710099</c:v>
                </c:pt>
                <c:pt idx="10">
                  <c:v>56.37010676156001</c:v>
                </c:pt>
                <c:pt idx="11">
                  <c:v>64.555168830620005</c:v>
                </c:pt>
              </c:numCache>
            </c:numRef>
          </c:xVal>
          <c:yVal>
            <c:numRef>
              <c:f>data!$B$2:$B$13</c:f>
              <c:numCache>
                <c:formatCode>General</c:formatCode>
                <c:ptCount val="12"/>
                <c:pt idx="0">
                  <c:v>22.1965268913935</c:v>
                </c:pt>
                <c:pt idx="1">
                  <c:v>27.919070344941598</c:v>
                </c:pt>
                <c:pt idx="2">
                  <c:v>35.375723167388003</c:v>
                </c:pt>
                <c:pt idx="3">
                  <c:v>48.901734966683499</c:v>
                </c:pt>
                <c:pt idx="4">
                  <c:v>59.653174950980898</c:v>
                </c:pt>
                <c:pt idx="5">
                  <c:v>73.526002273577205</c:v>
                </c:pt>
                <c:pt idx="6">
                  <c:v>86.705198549571804</c:v>
                </c:pt>
                <c:pt idx="7">
                  <c:v>97.456638533869096</c:v>
                </c:pt>
                <c:pt idx="8">
                  <c:v>111.67629725596299</c:v>
                </c:pt>
                <c:pt idx="9">
                  <c:v>125.375724755007</c:v>
                </c:pt>
                <c:pt idx="10">
                  <c:v>135.953756977654</c:v>
                </c:pt>
                <c:pt idx="11">
                  <c:v>148.092482869451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F2-4E55-9A82-084414DD6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1812863"/>
        <c:axId val="651811423"/>
      </c:scatterChart>
      <c:valAx>
        <c:axId val="651812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811423"/>
        <c:crosses val="autoZero"/>
        <c:crossBetween val="midCat"/>
      </c:valAx>
      <c:valAx>
        <c:axId val="65181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812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6</xdr:row>
      <xdr:rowOff>161925</xdr:rowOff>
    </xdr:from>
    <xdr:to>
      <xdr:col>11</xdr:col>
      <xdr:colOff>482600</xdr:colOff>
      <xdr:row>21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230DD3-96E0-5226-6855-441815E73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47419-2FD5-4D71-AF8E-BCB932FF933E}">
  <dimension ref="A1:D13"/>
  <sheetViews>
    <sheetView tabSelected="1" workbookViewId="0">
      <selection activeCell="C26" sqref="C26"/>
    </sheetView>
  </sheetViews>
  <sheetFormatPr defaultRowHeight="14.5" x14ac:dyDescent="0.35"/>
  <cols>
    <col min="1" max="4" width="18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0.21352313166994463</v>
      </c>
      <c r="B2">
        <v>22.1965268913935</v>
      </c>
      <c r="C2">
        <f>A2+1950</f>
        <v>1950.2135231316699</v>
      </c>
      <c r="D2">
        <f>20.9703+0.296346*A2+0.0814239*A2^2-0.000871901*A2^3</f>
        <v>21.037280526895749</v>
      </c>
    </row>
    <row r="3" spans="1:4" x14ac:dyDescent="0.35">
      <c r="A3">
        <v>7.3309630261599068</v>
      </c>
      <c r="B3">
        <v>27.919070344941598</v>
      </c>
      <c r="C3">
        <f t="shared" ref="C3:C13" si="0">A3+1950</f>
        <v>1957.3309630261599</v>
      </c>
      <c r="D3">
        <f t="shared" ref="D3:D13" si="1">20.9703+0.296346*A3+0.0814239*A3^2-0.000871901*A3^3</f>
        <v>27.175249160043499</v>
      </c>
    </row>
    <row r="4" spans="1:4" x14ac:dyDescent="0.35">
      <c r="A4">
        <v>13.523133844659924</v>
      </c>
      <c r="B4">
        <v>35.375723167388003</v>
      </c>
      <c r="C4">
        <f t="shared" si="0"/>
        <v>1963.5231338446599</v>
      </c>
      <c r="D4">
        <f t="shared" si="1"/>
        <v>37.711983955265325</v>
      </c>
    </row>
    <row r="5" spans="1:4" x14ac:dyDescent="0.35">
      <c r="A5">
        <v>20.000004344130048</v>
      </c>
      <c r="B5">
        <v>48.901734966683499</v>
      </c>
      <c r="C5">
        <f t="shared" si="0"/>
        <v>1970.00000434413</v>
      </c>
      <c r="D5">
        <f t="shared" si="1"/>
        <v>52.49158289082493</v>
      </c>
    </row>
    <row r="6" spans="1:4" x14ac:dyDescent="0.35">
      <c r="A6">
        <v>23.202851319219917</v>
      </c>
      <c r="B6">
        <v>59.653174950980898</v>
      </c>
      <c r="C6">
        <f t="shared" si="0"/>
        <v>1973.2028513192199</v>
      </c>
      <c r="D6">
        <f t="shared" si="1"/>
        <v>60.791156192061678</v>
      </c>
    </row>
    <row r="7" spans="1:4" x14ac:dyDescent="0.35">
      <c r="A7">
        <v>27.758007117429997</v>
      </c>
      <c r="B7">
        <v>73.526002273577205</v>
      </c>
      <c r="C7">
        <f t="shared" si="0"/>
        <v>1977.75800711743</v>
      </c>
      <c r="D7">
        <f t="shared" si="1"/>
        <v>73.285966117180863</v>
      </c>
    </row>
    <row r="8" spans="1:4" x14ac:dyDescent="0.35">
      <c r="A8">
        <v>31.103207191109959</v>
      </c>
      <c r="B8">
        <v>86.705198549571804</v>
      </c>
      <c r="C8">
        <f t="shared" si="0"/>
        <v>1981.10320719111</v>
      </c>
      <c r="D8">
        <f t="shared" si="1"/>
        <v>82.722766919635148</v>
      </c>
    </row>
    <row r="9" spans="1:4" x14ac:dyDescent="0.35">
      <c r="A9">
        <v>35.587192956229956</v>
      </c>
      <c r="B9">
        <v>97.456638533869096</v>
      </c>
      <c r="C9">
        <f t="shared" si="0"/>
        <v>1985.58719295623</v>
      </c>
      <c r="D9">
        <f t="shared" si="1"/>
        <v>95.339579510549044</v>
      </c>
    </row>
    <row r="10" spans="1:4" x14ac:dyDescent="0.35">
      <c r="A10">
        <v>40.000002172060022</v>
      </c>
      <c r="B10">
        <v>111.67629725596299</v>
      </c>
      <c r="C10">
        <f t="shared" si="0"/>
        <v>1990.00000217206</v>
      </c>
      <c r="D10">
        <f t="shared" si="1"/>
        <v>107.30072170194678</v>
      </c>
    </row>
    <row r="11" spans="1:4" x14ac:dyDescent="0.35">
      <c r="A11">
        <v>49.750889679710099</v>
      </c>
      <c r="B11">
        <v>125.375724755007</v>
      </c>
      <c r="C11">
        <f t="shared" si="0"/>
        <v>1999.7508896797101</v>
      </c>
      <c r="D11">
        <f t="shared" si="1"/>
        <v>129.88349562166059</v>
      </c>
    </row>
    <row r="12" spans="1:4" x14ac:dyDescent="0.35">
      <c r="A12">
        <v>56.37010676156001</v>
      </c>
      <c r="B12">
        <v>135.953756977654</v>
      </c>
      <c r="C12">
        <f t="shared" si="0"/>
        <v>2006.37010676156</v>
      </c>
      <c r="D12">
        <f t="shared" si="1"/>
        <v>140.2312363779175</v>
      </c>
    </row>
    <row r="13" spans="1:4" x14ac:dyDescent="0.35">
      <c r="A13">
        <v>64.555168830620005</v>
      </c>
      <c r="B13">
        <v>148.092482869451</v>
      </c>
      <c r="C13">
        <f t="shared" si="0"/>
        <v>2014.55516883062</v>
      </c>
      <c r="D13">
        <f t="shared" si="1"/>
        <v>144.86107438498686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Hilborn</dc:creator>
  <cp:lastModifiedBy>Ray Hilborn</cp:lastModifiedBy>
  <dcterms:created xsi:type="dcterms:W3CDTF">2026-04-25T16:13:42Z</dcterms:created>
  <dcterms:modified xsi:type="dcterms:W3CDTF">2026-04-25T17:09:48Z</dcterms:modified>
</cp:coreProperties>
</file>