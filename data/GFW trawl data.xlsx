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\Papers\Students Marine Biodiversity Trends\Benthic status\"/>
    </mc:Choice>
  </mc:AlternateContent>
  <xr:revisionPtr revIDLastSave="0" documentId="8_{56B54A6D-5152-4458-891E-5DDB64787F19}" xr6:coauthVersionLast="47" xr6:coauthVersionMax="47" xr10:uidLastSave="{00000000-0000-0000-0000-000000000000}"/>
  <bookViews>
    <workbookView xWindow="-110" yWindow="-110" windowWidth="25820" windowHeight="15860" firstSheet="2" activeTab="2" xr2:uid="{55F9F609-5DAF-4102-93DF-7984B2A99E7E}"/>
  </bookViews>
  <sheets>
    <sheet name="Table" sheetId="2" r:id="rId1"/>
    <sheet name="gfw_trawl_model_eez_sar_v202407" sheetId="1" r:id="rId2"/>
    <sheet name="ForR" sheetId="3" r:id="rId3"/>
    <sheet name="Name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2" i="1"/>
  <c r="H1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2" i="1"/>
  <c r="E116" i="1"/>
  <c r="D116" i="1"/>
  <c r="E117" i="1"/>
  <c r="C12" i="2"/>
  <c r="B12" i="2"/>
  <c r="D12" i="2" s="1"/>
</calcChain>
</file>

<file path=xl/sharedStrings.xml><?xml version="1.0" encoding="utf-8"?>
<sst xmlns="http://schemas.openxmlformats.org/spreadsheetml/2006/main" count="525" uniqueCount="151">
  <si>
    <t>eez</t>
  </si>
  <si>
    <t>label</t>
  </si>
  <si>
    <t>year</t>
  </si>
  <si>
    <t>China</t>
  </si>
  <si>
    <t>bottom_trawling</t>
  </si>
  <si>
    <t>South Korea</t>
  </si>
  <si>
    <t>Italy</t>
  </si>
  <si>
    <t>Taiwan</t>
  </si>
  <si>
    <t>Russia</t>
  </si>
  <si>
    <t>United Kingdom</t>
  </si>
  <si>
    <t>Vietnam</t>
  </si>
  <si>
    <t>Norway</t>
  </si>
  <si>
    <t>Spain</t>
  </si>
  <si>
    <t>France</t>
  </si>
  <si>
    <t>United States</t>
  </si>
  <si>
    <t>Denmark</t>
  </si>
  <si>
    <t>Malaysia</t>
  </si>
  <si>
    <t>Nigeria</t>
  </si>
  <si>
    <t>Japan</t>
  </si>
  <si>
    <t>Brazil</t>
  </si>
  <si>
    <t>Iceland</t>
  </si>
  <si>
    <t>Saudi Arabia</t>
  </si>
  <si>
    <t>Guinea-Bissau</t>
  </si>
  <si>
    <t>Senegal</t>
  </si>
  <si>
    <t>Greece</t>
  </si>
  <si>
    <t>Ireland</t>
  </si>
  <si>
    <t>Western Sahara</t>
  </si>
  <si>
    <t>Mauritania</t>
  </si>
  <si>
    <t>Namibia</t>
  </si>
  <si>
    <t>South Africa</t>
  </si>
  <si>
    <t>India</t>
  </si>
  <si>
    <t>Argentina</t>
  </si>
  <si>
    <t>Croatia</t>
  </si>
  <si>
    <t>Netherlands</t>
  </si>
  <si>
    <t>Thailand</t>
  </si>
  <si>
    <t>Portugal</t>
  </si>
  <si>
    <t>Indonesia</t>
  </si>
  <si>
    <t>Australia</t>
  </si>
  <si>
    <t>Canada</t>
  </si>
  <si>
    <t>Angola</t>
  </si>
  <si>
    <t>Uruguay</t>
  </si>
  <si>
    <t>Guinea</t>
  </si>
  <si>
    <t>Morocco</t>
  </si>
  <si>
    <t>Turkey</t>
  </si>
  <si>
    <t>Germany</t>
  </si>
  <si>
    <t>New Zealand</t>
  </si>
  <si>
    <t>Tunisia</t>
  </si>
  <si>
    <t>Sweden</t>
  </si>
  <si>
    <t>Ghana</t>
  </si>
  <si>
    <t>Gambia</t>
  </si>
  <si>
    <t>Albania</t>
  </si>
  <si>
    <t>Bulgaria</t>
  </si>
  <si>
    <t>Belgium</t>
  </si>
  <si>
    <t>Mozambique</t>
  </si>
  <si>
    <t>Malta</t>
  </si>
  <si>
    <t>Gabon</t>
  </si>
  <si>
    <t>Poland</t>
  </si>
  <si>
    <t>Madagascar</t>
  </si>
  <si>
    <t>Cameroon</t>
  </si>
  <si>
    <t>Republic of the Congo</t>
  </si>
  <si>
    <t>Suriname</t>
  </si>
  <si>
    <t>Colombia</t>
  </si>
  <si>
    <t>Pakistan</t>
  </si>
  <si>
    <t>Myanmar</t>
  </si>
  <si>
    <t>Liberia</t>
  </si>
  <si>
    <t>Latvia</t>
  </si>
  <si>
    <t>Montenegro</t>
  </si>
  <si>
    <t>Democratic Republic of the Congo</t>
  </si>
  <si>
    <t>North Korea</t>
  </si>
  <si>
    <t>Sierra Leone</t>
  </si>
  <si>
    <t>Chile</t>
  </si>
  <si>
    <t>Venezuela</t>
  </si>
  <si>
    <t>Iran</t>
  </si>
  <si>
    <t>Libya</t>
  </si>
  <si>
    <t>Cyprus</t>
  </si>
  <si>
    <t>Finland</t>
  </si>
  <si>
    <t>Egypt</t>
  </si>
  <si>
    <t>Cambodia</t>
  </si>
  <si>
    <t>Israel</t>
  </si>
  <si>
    <t>Estonia</t>
  </si>
  <si>
    <t>Slovenia</t>
  </si>
  <si>
    <t>Georgia</t>
  </si>
  <si>
    <t>Togo</t>
  </si>
  <si>
    <t>Romania</t>
  </si>
  <si>
    <t>Qatar</t>
  </si>
  <si>
    <t>Bangladesh</t>
  </si>
  <si>
    <t>Papua New Guinea</t>
  </si>
  <si>
    <t>Oman</t>
  </si>
  <si>
    <t>Ukraine</t>
  </si>
  <si>
    <t>Kenya</t>
  </si>
  <si>
    <t>Antarctica</t>
  </si>
  <si>
    <t>Ivory Coast</t>
  </si>
  <si>
    <t>Syria</t>
  </si>
  <si>
    <t>Ecuador</t>
  </si>
  <si>
    <t>Algeria</t>
  </si>
  <si>
    <t>United Arab Emirates</t>
  </si>
  <si>
    <t>Tanzania</t>
  </si>
  <si>
    <t>Lithuania</t>
  </si>
  <si>
    <t>Kuwait</t>
  </si>
  <si>
    <t>Singapore</t>
  </si>
  <si>
    <t>Peru</t>
  </si>
  <si>
    <t>Bahrain</t>
  </si>
  <si>
    <t>Brunei</t>
  </si>
  <si>
    <t>Guyana</t>
  </si>
  <si>
    <t>Federal Republic of Somalia</t>
  </si>
  <si>
    <t>Panama</t>
  </si>
  <si>
    <t>Iraq</t>
  </si>
  <si>
    <t>Benin</t>
  </si>
  <si>
    <t>Trinidad and Tobago</t>
  </si>
  <si>
    <t>Sri Lanka</t>
  </si>
  <si>
    <t>East Timor</t>
  </si>
  <si>
    <t>Philippines</t>
  </si>
  <si>
    <t>Equatorial Guinea</t>
  </si>
  <si>
    <t>Bahamas</t>
  </si>
  <si>
    <t>Costa Rica</t>
  </si>
  <si>
    <t>El Salvador</t>
  </si>
  <si>
    <t>Mexico</t>
  </si>
  <si>
    <t>SAR</t>
  </si>
  <si>
    <t>Swept Area</t>
  </si>
  <si>
    <t>Shelf Area</t>
  </si>
  <si>
    <t>EEZ</t>
  </si>
  <si>
    <t>Total</t>
  </si>
  <si>
    <t>Shelf</t>
  </si>
  <si>
    <t>Swept</t>
  </si>
  <si>
    <t>SAR1</t>
  </si>
  <si>
    <t>SAR2</t>
  </si>
  <si>
    <t>PCNT</t>
  </si>
  <si>
    <t>PCNTCells</t>
  </si>
  <si>
    <t>AIS</t>
  </si>
  <si>
    <t xml:space="preserve">RBS </t>
  </si>
  <si>
    <t>total rbs</t>
  </si>
  <si>
    <t>10 x RBS</t>
  </si>
  <si>
    <t>10xrbs</t>
  </si>
  <si>
    <t>FAO</t>
  </si>
  <si>
    <t>GFW</t>
  </si>
  <si>
    <t>Somalia</t>
  </si>
  <si>
    <t>Brunei Darussalam</t>
  </si>
  <si>
    <t>Timor-Leste</t>
  </si>
  <si>
    <t>Iran (Islamic Rep. of)</t>
  </si>
  <si>
    <t>Côte d'Ivoire</t>
  </si>
  <si>
    <t>Korea, Dem. People's Rep</t>
  </si>
  <si>
    <t>Congo, Dem. Rep. of the</t>
  </si>
  <si>
    <t>Congo</t>
  </si>
  <si>
    <t>Russian Federation</t>
  </si>
  <si>
    <t>Korea, Republic of</t>
  </si>
  <si>
    <t>Syrian Arab Republic</t>
  </si>
  <si>
    <t>Taiwan Province of China</t>
  </si>
  <si>
    <t>Tanzania, United Rep. of</t>
  </si>
  <si>
    <t>United States of America</t>
  </si>
  <si>
    <t>Venezuela, Boliv Rep of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</si>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</sst>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3" fontId="0" fillId="0" borderId="0" xfId="1" quotePrefix="1" applyFont="1"/>
    <xf numFmtId="43" fontId="0" fillId="0" borderId="0" xfId="1" applyFont="1"/>
    <xf numFmtId="164" fontId="0" fillId="0" borderId="0" xfId="1" quotePrefix="1" applyNumberFormat="1" applyFont="1"/>
    <xf numFmtId="164" fontId="0" fillId="0" borderId="0" xfId="1" applyNumberFormat="1" applyFont="1"/>
    <xf numFmtId="0" fontId="0" fillId="0" borderId="0" xfId="0" applyAlignment="1">
      <alignment horizontal="center"/>
    </xf>
    <xf numFmtId="9" fontId="0" fillId="0" borderId="0" xfId="2" quotePrefix="1" applyFont="1"/>
    <xf numFmtId="9" fontId="0" fillId="0" borderId="0" xfId="2" applyFont="1"/>
    <xf numFmtId="164" fontId="0" fillId="0" borderId="0" xfId="0" applyNumberFormat="1"/>
    <xf numFmtId="165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AC90-AB83-4D8B-81A9-8BB249E1B681}">
  <dimension ref="A1:G113"/>
  <sheetViews>
    <sheetView workbookViewId="0">
      <selection activeCell="G5" sqref="G5"/>
    </sheetView>
  </sheetViews>
  <sheetFormatPr defaultRowHeight="14.5" x14ac:dyDescent="0.35"/>
  <cols>
    <col min="1" max="1" width="14.26953125" customWidth="1"/>
    <col min="2" max="2" width="11.1796875" bestFit="1" customWidth="1"/>
    <col min="3" max="3" width="12.7265625" bestFit="1" customWidth="1"/>
  </cols>
  <sheetData>
    <row r="1" spans="1:7" x14ac:dyDescent="0.35">
      <c r="A1" s="5" t="s">
        <v>120</v>
      </c>
      <c r="B1" s="5" t="s">
        <v>118</v>
      </c>
      <c r="C1" s="5" t="s">
        <v>119</v>
      </c>
      <c r="D1" s="5" t="s">
        <v>117</v>
      </c>
    </row>
    <row r="2" spans="1:7" x14ac:dyDescent="0.35">
      <c r="A2" t="s">
        <v>8</v>
      </c>
      <c r="B2" s="3">
        <v>334496.24602871202</v>
      </c>
      <c r="C2" s="3">
        <v>5331549.9395820601</v>
      </c>
      <c r="D2" s="6">
        <v>6.2739025202666096E-2</v>
      </c>
      <c r="E2" s="1"/>
      <c r="F2" s="1"/>
      <c r="G2" s="1"/>
    </row>
    <row r="3" spans="1:7" x14ac:dyDescent="0.35">
      <c r="A3" t="s">
        <v>38</v>
      </c>
      <c r="B3" s="3">
        <v>40163.838484738597</v>
      </c>
      <c r="C3" s="3">
        <v>3989337.0503622801</v>
      </c>
      <c r="D3" s="7">
        <v>1.0067797726214E-2</v>
      </c>
      <c r="E3" s="1"/>
      <c r="F3" s="2"/>
      <c r="G3" s="1"/>
    </row>
    <row r="4" spans="1:7" x14ac:dyDescent="0.35">
      <c r="A4" t="s">
        <v>37</v>
      </c>
      <c r="B4" s="3">
        <v>40601.1222459442</v>
      </c>
      <c r="C4" s="3">
        <v>2754043.3151472998</v>
      </c>
      <c r="D4" s="6">
        <v>1.47423688010413E-2</v>
      </c>
      <c r="E4" s="1"/>
      <c r="F4" s="1"/>
      <c r="G4" s="1"/>
    </row>
    <row r="5" spans="1:7" x14ac:dyDescent="0.35">
      <c r="A5" t="s">
        <v>14</v>
      </c>
      <c r="B5" s="3">
        <v>147944.81136347499</v>
      </c>
      <c r="C5" s="3">
        <v>2712221.50638365</v>
      </c>
      <c r="D5" s="6">
        <v>5.4547466353785198E-2</v>
      </c>
      <c r="E5" s="1"/>
      <c r="F5" s="1"/>
      <c r="G5" s="1"/>
    </row>
    <row r="6" spans="1:7" x14ac:dyDescent="0.35">
      <c r="A6" t="s">
        <v>90</v>
      </c>
      <c r="B6" s="3">
        <v>290.78279132049198</v>
      </c>
      <c r="C6" s="3">
        <v>2616447.72753117</v>
      </c>
      <c r="D6" s="7">
        <v>1.11136480297608E-4</v>
      </c>
      <c r="E6" s="2"/>
      <c r="F6" s="2"/>
      <c r="G6" s="2"/>
    </row>
    <row r="7" spans="1:7" x14ac:dyDescent="0.35">
      <c r="A7" t="s">
        <v>36</v>
      </c>
      <c r="B7" s="3">
        <v>43171.682618956998</v>
      </c>
      <c r="C7" s="4">
        <v>2554961.6894838498</v>
      </c>
      <c r="D7" s="6">
        <v>1.6897193721788599E-2</v>
      </c>
      <c r="E7" s="1"/>
      <c r="F7" s="2"/>
      <c r="G7" s="2"/>
    </row>
    <row r="8" spans="1:7" x14ac:dyDescent="0.35">
      <c r="A8" t="s">
        <v>15</v>
      </c>
      <c r="B8" s="3">
        <v>147760.77954367001</v>
      </c>
      <c r="C8" s="3">
        <v>1267039.49627757</v>
      </c>
      <c r="D8" s="6">
        <v>0.116618921492009</v>
      </c>
      <c r="E8" s="1"/>
      <c r="F8" s="1"/>
      <c r="G8" s="2"/>
    </row>
    <row r="9" spans="1:7" x14ac:dyDescent="0.35">
      <c r="A9" t="s">
        <v>11</v>
      </c>
      <c r="B9" s="3">
        <v>258507.51419556499</v>
      </c>
      <c r="C9" s="3">
        <v>1081515.4299442801</v>
      </c>
      <c r="D9" s="6">
        <v>0.239023417547434</v>
      </c>
      <c r="E9" s="1"/>
      <c r="F9" s="1"/>
      <c r="G9" s="1"/>
    </row>
    <row r="10" spans="1:7" x14ac:dyDescent="0.35">
      <c r="A10" t="s">
        <v>45</v>
      </c>
      <c r="B10" s="3">
        <v>24803.387184714</v>
      </c>
      <c r="C10" s="3">
        <v>1060983.84656125</v>
      </c>
      <c r="D10" s="6">
        <v>2.3377723671386699E-2</v>
      </c>
      <c r="E10" s="1"/>
      <c r="F10" s="2"/>
      <c r="G10" s="1"/>
    </row>
    <row r="11" spans="1:7" x14ac:dyDescent="0.35">
      <c r="A11" t="s">
        <v>9</v>
      </c>
      <c r="B11" s="3">
        <v>315235.02332907502</v>
      </c>
      <c r="C11" s="3">
        <v>1036586.43413146</v>
      </c>
      <c r="D11" s="6">
        <v>0.304108767922672</v>
      </c>
      <c r="E11" s="2"/>
      <c r="F11" s="1"/>
      <c r="G11" s="1"/>
    </row>
    <row r="12" spans="1:7" x14ac:dyDescent="0.35">
      <c r="A12" t="s">
        <v>121</v>
      </c>
      <c r="B12" s="3">
        <f>SUM(B2:B11)</f>
        <v>1352975.1877861712</v>
      </c>
      <c r="C12" s="3">
        <f>SUM(C2:C11)</f>
        <v>24404686.435404871</v>
      </c>
      <c r="D12" s="6">
        <f>B12/C12</f>
        <v>5.5439154744613112E-2</v>
      </c>
      <c r="E12" s="1"/>
      <c r="F12" s="1"/>
      <c r="G12" s="1"/>
    </row>
    <row r="13" spans="1:7" x14ac:dyDescent="0.35">
      <c r="B13" s="3"/>
      <c r="C13" s="3"/>
      <c r="D13" s="2"/>
      <c r="E13" s="1"/>
      <c r="F13" s="1"/>
      <c r="G13" s="1"/>
    </row>
    <row r="14" spans="1:7" x14ac:dyDescent="0.35">
      <c r="B14" s="4"/>
      <c r="C14" s="3"/>
      <c r="D14" s="1"/>
      <c r="E14" s="1"/>
      <c r="F14" s="1"/>
      <c r="G14" s="1"/>
    </row>
    <row r="15" spans="1:7" x14ac:dyDescent="0.35">
      <c r="B15" s="3"/>
      <c r="C15" s="3"/>
      <c r="D15" s="1"/>
      <c r="E15" s="1"/>
      <c r="F15" s="1"/>
      <c r="G15" s="1"/>
    </row>
    <row r="16" spans="1:7" x14ac:dyDescent="0.35">
      <c r="B16" s="3"/>
      <c r="C16" s="3"/>
      <c r="D16" s="1"/>
      <c r="E16" s="1"/>
      <c r="F16" s="1"/>
      <c r="G16" s="1"/>
    </row>
    <row r="17" spans="2:7" x14ac:dyDescent="0.35">
      <c r="B17" s="3"/>
      <c r="C17" s="3"/>
      <c r="D17" s="1"/>
      <c r="E17" s="1"/>
      <c r="F17" s="2"/>
      <c r="G17" s="1"/>
    </row>
    <row r="18" spans="2:7" x14ac:dyDescent="0.35">
      <c r="B18" s="4"/>
      <c r="C18" s="3"/>
      <c r="D18" s="1"/>
      <c r="E18" s="1"/>
      <c r="F18" s="1"/>
      <c r="G18" s="1"/>
    </row>
    <row r="19" spans="2:7" x14ac:dyDescent="0.35">
      <c r="B19" s="3"/>
      <c r="C19" s="3"/>
      <c r="D19" s="1"/>
      <c r="E19" s="1"/>
      <c r="F19" s="1"/>
      <c r="G19" s="2"/>
    </row>
    <row r="20" spans="2:7" x14ac:dyDescent="0.35">
      <c r="B20" s="3"/>
      <c r="C20" s="3"/>
      <c r="D20" s="1"/>
      <c r="E20" s="1"/>
      <c r="F20" s="1"/>
      <c r="G20" s="1"/>
    </row>
    <row r="21" spans="2:7" x14ac:dyDescent="0.35">
      <c r="B21" s="3"/>
      <c r="C21" s="3"/>
      <c r="D21" s="1"/>
      <c r="E21" s="1"/>
      <c r="F21" s="1"/>
      <c r="G21" s="1"/>
    </row>
    <row r="22" spans="2:7" x14ac:dyDescent="0.35">
      <c r="B22" s="3"/>
      <c r="C22" s="3"/>
      <c r="D22" s="2"/>
      <c r="E22" s="2"/>
      <c r="F22" s="1"/>
      <c r="G22" s="1"/>
    </row>
    <row r="23" spans="2:7" x14ac:dyDescent="0.35">
      <c r="B23" s="3"/>
      <c r="C23" s="3"/>
      <c r="D23" s="2"/>
      <c r="E23" s="2"/>
      <c r="F23" s="2"/>
      <c r="G23" s="1"/>
    </row>
    <row r="24" spans="2:7" x14ac:dyDescent="0.35">
      <c r="B24" s="3"/>
      <c r="C24" s="3"/>
      <c r="D24" s="1"/>
      <c r="E24" s="1"/>
      <c r="F24" s="1"/>
      <c r="G24" s="1"/>
    </row>
    <row r="25" spans="2:7" x14ac:dyDescent="0.35">
      <c r="B25" s="3"/>
      <c r="C25" s="3"/>
      <c r="D25" s="2"/>
      <c r="E25" s="2"/>
      <c r="F25" s="2"/>
      <c r="G25" s="1"/>
    </row>
    <row r="26" spans="2:7" x14ac:dyDescent="0.35">
      <c r="B26" s="3"/>
      <c r="C26" s="3"/>
      <c r="D26" s="1"/>
      <c r="E26" s="1"/>
      <c r="F26" s="1"/>
      <c r="G26" s="1"/>
    </row>
    <row r="27" spans="2:7" x14ac:dyDescent="0.35">
      <c r="B27" s="3"/>
      <c r="C27" s="3"/>
      <c r="D27" s="1"/>
      <c r="E27" s="1"/>
      <c r="F27" s="1"/>
      <c r="G27" s="1"/>
    </row>
    <row r="28" spans="2:7" x14ac:dyDescent="0.35">
      <c r="B28" s="3"/>
      <c r="C28" s="3"/>
      <c r="D28" s="1"/>
      <c r="E28" s="1"/>
      <c r="F28" s="1"/>
      <c r="G28" s="1"/>
    </row>
    <row r="29" spans="2:7" x14ac:dyDescent="0.35">
      <c r="B29" s="3"/>
      <c r="C29" s="3"/>
      <c r="D29" s="2"/>
      <c r="E29" s="1"/>
      <c r="F29" s="1"/>
      <c r="G29" s="1"/>
    </row>
    <row r="30" spans="2:7" x14ac:dyDescent="0.35">
      <c r="B30" s="3"/>
      <c r="C30" s="3"/>
      <c r="D30" s="1"/>
      <c r="E30" s="1"/>
      <c r="F30" s="1"/>
      <c r="G30" s="1"/>
    </row>
    <row r="31" spans="2:7" x14ac:dyDescent="0.35">
      <c r="B31" s="3"/>
      <c r="C31" s="3"/>
      <c r="D31" s="1"/>
      <c r="E31" s="1"/>
      <c r="F31" s="1"/>
      <c r="G31" s="2"/>
    </row>
    <row r="32" spans="2:7" x14ac:dyDescent="0.35">
      <c r="B32" s="3"/>
      <c r="C32" s="3"/>
      <c r="D32" s="1"/>
      <c r="E32" s="1"/>
      <c r="F32" s="1"/>
      <c r="G32" s="1"/>
    </row>
    <row r="33" spans="2:7" x14ac:dyDescent="0.35">
      <c r="B33" s="3"/>
      <c r="C33" s="3"/>
      <c r="D33" s="2"/>
      <c r="E33" s="2"/>
      <c r="F33" s="1"/>
      <c r="G33" s="1"/>
    </row>
    <row r="34" spans="2:7" x14ac:dyDescent="0.35">
      <c r="B34" s="3"/>
      <c r="C34" s="3"/>
      <c r="D34" s="1"/>
      <c r="E34" s="1"/>
      <c r="F34" s="1"/>
      <c r="G34" s="1"/>
    </row>
    <row r="35" spans="2:7" x14ac:dyDescent="0.35">
      <c r="B35" s="4"/>
      <c r="C35" s="3"/>
      <c r="D35" s="1"/>
      <c r="E35" s="1"/>
      <c r="F35" s="1"/>
      <c r="G35" s="1"/>
    </row>
    <row r="36" spans="2:7" x14ac:dyDescent="0.35">
      <c r="B36" s="3"/>
      <c r="C36" s="3"/>
      <c r="D36" s="1"/>
      <c r="E36" s="1"/>
      <c r="F36" s="1"/>
      <c r="G36" s="2"/>
    </row>
    <row r="37" spans="2:7" x14ac:dyDescent="0.35">
      <c r="B37" s="3"/>
      <c r="C37" s="3"/>
      <c r="D37" s="1"/>
      <c r="E37" s="1"/>
      <c r="F37" s="2"/>
      <c r="G37" s="1"/>
    </row>
    <row r="38" spans="2:7" x14ac:dyDescent="0.35">
      <c r="B38" s="3"/>
      <c r="C38" s="3"/>
      <c r="D38" s="2"/>
      <c r="E38" s="2"/>
      <c r="F38" s="1"/>
      <c r="G38" s="1"/>
    </row>
    <row r="39" spans="2:7" x14ac:dyDescent="0.35">
      <c r="B39" s="3"/>
      <c r="C39" s="3"/>
      <c r="D39" s="1"/>
      <c r="E39" s="1"/>
      <c r="F39" s="1"/>
      <c r="G39" s="1"/>
    </row>
    <row r="40" spans="2:7" x14ac:dyDescent="0.35">
      <c r="B40" s="3"/>
      <c r="C40" s="3"/>
      <c r="D40" s="1"/>
      <c r="E40" s="1"/>
      <c r="F40" s="2"/>
      <c r="G40" s="1"/>
    </row>
    <row r="41" spans="2:7" x14ac:dyDescent="0.35">
      <c r="B41" s="3"/>
      <c r="C41" s="3"/>
      <c r="D41" s="2"/>
      <c r="E41" s="2"/>
      <c r="F41" s="2"/>
      <c r="G41" s="1"/>
    </row>
    <row r="42" spans="2:7" x14ac:dyDescent="0.35">
      <c r="B42" s="3"/>
      <c r="C42" s="3"/>
      <c r="D42" s="1"/>
      <c r="E42" s="1"/>
      <c r="F42" s="1"/>
      <c r="G42" s="1"/>
    </row>
    <row r="43" spans="2:7" x14ac:dyDescent="0.35">
      <c r="B43" s="3"/>
      <c r="C43" s="3"/>
      <c r="D43" s="1"/>
      <c r="E43" s="1"/>
      <c r="F43" s="1"/>
      <c r="G43" s="1"/>
    </row>
    <row r="44" spans="2:7" x14ac:dyDescent="0.35">
      <c r="B44" s="3"/>
      <c r="C44" s="3"/>
      <c r="D44" s="2"/>
      <c r="E44" s="2"/>
      <c r="F44" s="2"/>
      <c r="G44" s="2"/>
    </row>
    <row r="45" spans="2:7" x14ac:dyDescent="0.35">
      <c r="B45" s="3"/>
      <c r="C45" s="3"/>
      <c r="D45" s="1"/>
      <c r="E45" s="1"/>
      <c r="F45" s="1"/>
      <c r="G45" s="1"/>
    </row>
    <row r="46" spans="2:7" x14ac:dyDescent="0.35">
      <c r="B46" s="3"/>
      <c r="C46" s="3"/>
      <c r="D46" s="1"/>
      <c r="E46" s="1"/>
      <c r="F46" s="1"/>
      <c r="G46" s="1"/>
    </row>
    <row r="47" spans="2:7" x14ac:dyDescent="0.35">
      <c r="B47" s="3"/>
      <c r="C47" s="3"/>
      <c r="D47" s="1"/>
      <c r="E47" s="1"/>
      <c r="F47" s="1"/>
      <c r="G47" s="1"/>
    </row>
    <row r="48" spans="2:7" x14ac:dyDescent="0.35">
      <c r="B48" s="3"/>
      <c r="C48" s="3"/>
      <c r="D48" s="2"/>
      <c r="E48" s="2"/>
      <c r="F48" s="1"/>
      <c r="G48" s="2"/>
    </row>
    <row r="49" spans="2:7" x14ac:dyDescent="0.35">
      <c r="B49" s="3"/>
      <c r="C49" s="4"/>
      <c r="D49" s="2"/>
      <c r="E49" s="2"/>
      <c r="F49" s="1"/>
      <c r="G49" s="1"/>
    </row>
    <row r="50" spans="2:7" x14ac:dyDescent="0.35">
      <c r="B50" s="3"/>
      <c r="C50" s="3"/>
      <c r="D50" s="1"/>
      <c r="E50" s="1"/>
      <c r="F50" s="1"/>
      <c r="G50" s="1"/>
    </row>
    <row r="51" spans="2:7" x14ac:dyDescent="0.35">
      <c r="B51" s="3"/>
      <c r="C51" s="3"/>
      <c r="D51" s="2"/>
      <c r="E51" s="2"/>
      <c r="F51" s="2"/>
      <c r="G51" s="1"/>
    </row>
    <row r="52" spans="2:7" x14ac:dyDescent="0.35">
      <c r="B52" s="3"/>
      <c r="C52" s="3"/>
      <c r="D52" s="1"/>
      <c r="E52" s="1"/>
      <c r="F52" s="1"/>
      <c r="G52" s="1"/>
    </row>
    <row r="53" spans="2:7" x14ac:dyDescent="0.35">
      <c r="B53" s="3"/>
      <c r="C53" s="3"/>
      <c r="D53" s="1"/>
      <c r="E53" s="1"/>
      <c r="F53" s="1"/>
      <c r="G53" s="1"/>
    </row>
    <row r="54" spans="2:7" x14ac:dyDescent="0.35">
      <c r="B54" s="3"/>
      <c r="C54" s="3"/>
      <c r="D54" s="1"/>
      <c r="E54" s="1"/>
      <c r="F54" s="1"/>
      <c r="G54" s="1"/>
    </row>
    <row r="55" spans="2:7" x14ac:dyDescent="0.35">
      <c r="B55" s="3"/>
      <c r="C55" s="3"/>
      <c r="D55" s="2"/>
      <c r="E55" s="2"/>
      <c r="F55" s="2"/>
      <c r="G55" s="1"/>
    </row>
    <row r="56" spans="2:7" x14ac:dyDescent="0.35">
      <c r="B56" s="3"/>
      <c r="C56" s="3"/>
      <c r="D56" s="2"/>
      <c r="E56" s="2"/>
      <c r="F56" s="2"/>
      <c r="G56" s="1"/>
    </row>
    <row r="57" spans="2:7" x14ac:dyDescent="0.35">
      <c r="B57" s="3"/>
      <c r="C57" s="4"/>
      <c r="D57" s="2"/>
      <c r="E57" s="2"/>
      <c r="F57" s="2"/>
      <c r="G57" s="1"/>
    </row>
    <row r="58" spans="2:7" x14ac:dyDescent="0.35">
      <c r="B58" s="3"/>
      <c r="C58" s="3"/>
      <c r="D58" s="2"/>
      <c r="E58" s="2"/>
      <c r="F58" s="2"/>
      <c r="G58" s="2"/>
    </row>
    <row r="59" spans="2:7" x14ac:dyDescent="0.35">
      <c r="B59" s="3"/>
      <c r="C59" s="3"/>
      <c r="D59" s="2"/>
      <c r="E59" s="2"/>
      <c r="F59" s="2"/>
      <c r="G59" s="1"/>
    </row>
    <row r="60" spans="2:7" x14ac:dyDescent="0.35">
      <c r="B60" s="4"/>
      <c r="C60" s="3"/>
      <c r="D60" s="1"/>
      <c r="E60" s="1"/>
      <c r="F60" s="1"/>
      <c r="G60" s="1"/>
    </row>
    <row r="61" spans="2:7" x14ac:dyDescent="0.35">
      <c r="B61" s="3"/>
      <c r="C61" s="3"/>
      <c r="D61" s="1"/>
      <c r="E61" s="1"/>
      <c r="F61" s="1"/>
      <c r="G61" s="2"/>
    </row>
    <row r="62" spans="2:7" x14ac:dyDescent="0.35">
      <c r="B62" s="3"/>
      <c r="C62" s="3"/>
      <c r="D62" s="2"/>
      <c r="E62" s="2"/>
      <c r="F62" s="1"/>
      <c r="G62" s="1"/>
    </row>
    <row r="63" spans="2:7" x14ac:dyDescent="0.35">
      <c r="B63" s="3"/>
      <c r="C63" s="3"/>
      <c r="D63" s="1"/>
      <c r="E63" s="1"/>
      <c r="F63" s="1"/>
      <c r="G63" s="1"/>
    </row>
    <row r="64" spans="2:7" x14ac:dyDescent="0.35">
      <c r="B64" s="3"/>
      <c r="C64" s="3"/>
      <c r="D64" s="2"/>
      <c r="E64" s="2"/>
      <c r="F64" s="2"/>
      <c r="G64" s="1"/>
    </row>
    <row r="65" spans="2:7" x14ac:dyDescent="0.35">
      <c r="B65" s="3"/>
      <c r="C65" s="3"/>
      <c r="D65" s="2"/>
      <c r="E65" s="2"/>
      <c r="F65" s="2"/>
      <c r="G65" s="2"/>
    </row>
    <row r="66" spans="2:7" x14ac:dyDescent="0.35">
      <c r="B66" s="3"/>
      <c r="C66" s="3"/>
      <c r="D66" s="1"/>
      <c r="E66" s="1"/>
      <c r="F66" s="1"/>
      <c r="G66" s="1"/>
    </row>
    <row r="67" spans="2:7" x14ac:dyDescent="0.35">
      <c r="B67" s="3"/>
      <c r="C67" s="3"/>
      <c r="D67" s="1"/>
      <c r="E67" s="1"/>
      <c r="F67" s="1"/>
      <c r="G67" s="1"/>
    </row>
    <row r="68" spans="2:7" x14ac:dyDescent="0.35">
      <c r="B68" s="3"/>
      <c r="C68" s="3"/>
      <c r="D68" s="1"/>
      <c r="E68" s="1"/>
      <c r="F68" s="1"/>
      <c r="G68" s="1"/>
    </row>
    <row r="69" spans="2:7" x14ac:dyDescent="0.35">
      <c r="B69" s="3"/>
      <c r="C69" s="3"/>
      <c r="D69" s="1"/>
      <c r="E69" s="1"/>
      <c r="F69" s="1"/>
      <c r="G69" s="1"/>
    </row>
    <row r="70" spans="2:7" x14ac:dyDescent="0.35">
      <c r="B70" s="3"/>
      <c r="C70" s="3"/>
      <c r="D70" s="1"/>
      <c r="E70" s="1"/>
      <c r="F70" s="1"/>
      <c r="G70" s="1"/>
    </row>
    <row r="71" spans="2:7" x14ac:dyDescent="0.35">
      <c r="B71" s="4"/>
      <c r="C71" s="3"/>
      <c r="D71" s="1"/>
      <c r="E71" s="1"/>
      <c r="F71" s="1"/>
      <c r="G71" s="1"/>
    </row>
    <row r="72" spans="2:7" x14ac:dyDescent="0.35">
      <c r="B72" s="3"/>
      <c r="C72" s="3"/>
      <c r="D72" s="1"/>
      <c r="E72" s="1"/>
      <c r="F72" s="1"/>
      <c r="G72" s="2"/>
    </row>
    <row r="73" spans="2:7" x14ac:dyDescent="0.35">
      <c r="B73" s="3"/>
      <c r="C73" s="4"/>
      <c r="D73" s="1"/>
      <c r="E73" s="1"/>
      <c r="F73" s="1"/>
      <c r="G73" s="1"/>
    </row>
    <row r="74" spans="2:7" x14ac:dyDescent="0.35">
      <c r="B74" s="3"/>
      <c r="C74" s="3"/>
      <c r="D74" s="1"/>
      <c r="E74" s="1"/>
      <c r="F74" s="1"/>
      <c r="G74" s="1"/>
    </row>
    <row r="75" spans="2:7" x14ac:dyDescent="0.35">
      <c r="B75" s="3"/>
      <c r="C75" s="3"/>
      <c r="D75" s="2"/>
      <c r="E75" s="2"/>
      <c r="F75" s="2"/>
      <c r="G75" s="2"/>
    </row>
    <row r="76" spans="2:7" x14ac:dyDescent="0.35">
      <c r="B76" s="3"/>
      <c r="C76" s="3"/>
      <c r="D76" s="2"/>
      <c r="E76" s="2"/>
      <c r="F76" s="2"/>
      <c r="G76" s="1"/>
    </row>
    <row r="77" spans="2:7" x14ac:dyDescent="0.35">
      <c r="B77" s="3"/>
      <c r="C77" s="3"/>
      <c r="D77" s="1"/>
      <c r="E77" s="1"/>
      <c r="F77" s="1"/>
      <c r="G77" s="1"/>
    </row>
    <row r="78" spans="2:7" x14ac:dyDescent="0.35">
      <c r="B78" s="3"/>
      <c r="C78" s="3"/>
      <c r="D78" s="1"/>
      <c r="E78" s="1"/>
      <c r="F78" s="1"/>
      <c r="G78" s="1"/>
    </row>
    <row r="79" spans="2:7" x14ac:dyDescent="0.35">
      <c r="B79" s="3"/>
      <c r="C79" s="3"/>
      <c r="D79" s="1"/>
      <c r="E79" s="1"/>
      <c r="F79" s="1"/>
      <c r="G79" s="2"/>
    </row>
    <row r="80" spans="2:7" x14ac:dyDescent="0.35">
      <c r="B80" s="3"/>
      <c r="C80" s="4"/>
      <c r="D80" s="1"/>
      <c r="E80" s="1"/>
      <c r="F80" s="1"/>
      <c r="G80" s="1"/>
    </row>
    <row r="81" spans="2:7" x14ac:dyDescent="0.35">
      <c r="B81" s="3"/>
      <c r="C81" s="3"/>
      <c r="D81" s="2"/>
      <c r="E81" s="2"/>
      <c r="F81" s="2"/>
      <c r="G81" s="2"/>
    </row>
    <row r="82" spans="2:7" x14ac:dyDescent="0.35">
      <c r="B82" s="3"/>
      <c r="C82" s="3"/>
      <c r="D82" s="1"/>
      <c r="E82" s="1"/>
      <c r="F82" s="1"/>
      <c r="G82" s="2"/>
    </row>
    <row r="83" spans="2:7" x14ac:dyDescent="0.35">
      <c r="B83" s="3"/>
      <c r="C83" s="3"/>
      <c r="D83" s="1"/>
      <c r="E83" s="1"/>
      <c r="F83" s="1"/>
      <c r="G83" s="1"/>
    </row>
    <row r="84" spans="2:7" x14ac:dyDescent="0.35">
      <c r="B84" s="3"/>
      <c r="C84" s="3"/>
      <c r="D84" s="1"/>
      <c r="E84" s="1"/>
      <c r="F84" s="1"/>
      <c r="G84" s="1"/>
    </row>
    <row r="85" spans="2:7" x14ac:dyDescent="0.35">
      <c r="B85" s="3"/>
      <c r="C85" s="3"/>
      <c r="D85" s="1"/>
      <c r="E85" s="1"/>
      <c r="F85" s="2"/>
      <c r="G85" s="1"/>
    </row>
    <row r="86" spans="2:7" x14ac:dyDescent="0.35">
      <c r="B86" s="3"/>
      <c r="C86" s="3"/>
      <c r="D86" s="2"/>
      <c r="E86" s="2"/>
      <c r="F86" s="1"/>
      <c r="G86" s="1"/>
    </row>
    <row r="87" spans="2:7" x14ac:dyDescent="0.35">
      <c r="B87" s="3"/>
      <c r="C87" s="3"/>
      <c r="D87" s="1"/>
      <c r="E87" s="1"/>
      <c r="F87" s="1"/>
      <c r="G87" s="2"/>
    </row>
    <row r="88" spans="2:7" x14ac:dyDescent="0.35">
      <c r="B88" s="3"/>
      <c r="C88" s="3"/>
      <c r="D88" s="1"/>
      <c r="E88" s="1"/>
      <c r="F88" s="1"/>
      <c r="G88" s="1"/>
    </row>
    <row r="89" spans="2:7" x14ac:dyDescent="0.35">
      <c r="B89" s="3"/>
      <c r="C89" s="3"/>
      <c r="D89" s="1"/>
      <c r="E89" s="1"/>
      <c r="F89" s="1"/>
      <c r="G89" s="2"/>
    </row>
    <row r="90" spans="2:7" x14ac:dyDescent="0.35">
      <c r="B90" s="3"/>
      <c r="C90" s="3"/>
      <c r="D90" s="1"/>
      <c r="E90" s="1"/>
      <c r="F90" s="1"/>
      <c r="G90" s="1"/>
    </row>
    <row r="91" spans="2:7" x14ac:dyDescent="0.35">
      <c r="B91" s="3"/>
      <c r="C91" s="3"/>
      <c r="D91" s="2"/>
      <c r="E91" s="2"/>
      <c r="F91" s="2"/>
      <c r="G91" s="2"/>
    </row>
    <row r="92" spans="2:7" x14ac:dyDescent="0.35">
      <c r="B92" s="3"/>
      <c r="C92" s="3"/>
      <c r="D92" s="2"/>
      <c r="E92" s="2"/>
      <c r="F92" s="2"/>
      <c r="G92" s="1"/>
    </row>
    <row r="93" spans="2:7" x14ac:dyDescent="0.35">
      <c r="B93" s="3"/>
      <c r="C93" s="3"/>
      <c r="D93" s="1"/>
      <c r="E93" s="1"/>
      <c r="F93" s="1"/>
      <c r="G93" s="1"/>
    </row>
    <row r="94" spans="2:7" x14ac:dyDescent="0.35">
      <c r="B94" s="3"/>
      <c r="C94" s="3"/>
      <c r="D94" s="2"/>
      <c r="E94" s="2"/>
      <c r="F94" s="1"/>
      <c r="G94" s="1"/>
    </row>
    <row r="95" spans="2:7" x14ac:dyDescent="0.35">
      <c r="B95" s="3"/>
      <c r="C95" s="3"/>
      <c r="D95" s="1"/>
      <c r="E95" s="1"/>
      <c r="F95" s="1"/>
      <c r="G95" s="1"/>
    </row>
    <row r="96" spans="2:7" x14ac:dyDescent="0.35">
      <c r="B96" s="3"/>
      <c r="C96" s="3"/>
      <c r="D96" s="1"/>
      <c r="E96" s="1"/>
      <c r="F96" s="1"/>
      <c r="G96" s="1"/>
    </row>
    <row r="97" spans="2:7" x14ac:dyDescent="0.35">
      <c r="B97" s="3"/>
      <c r="C97" s="3"/>
      <c r="D97" s="2"/>
      <c r="E97" s="2"/>
      <c r="F97" s="2"/>
      <c r="G97" s="1"/>
    </row>
    <row r="98" spans="2:7" x14ac:dyDescent="0.35">
      <c r="B98" s="3"/>
      <c r="C98" s="3"/>
      <c r="D98" s="1"/>
      <c r="E98" s="1"/>
      <c r="F98" s="1"/>
      <c r="G98" s="1"/>
    </row>
    <row r="99" spans="2:7" x14ac:dyDescent="0.35">
      <c r="B99" s="3"/>
      <c r="C99" s="3"/>
      <c r="D99" s="2"/>
      <c r="E99" s="2"/>
      <c r="F99" s="1"/>
      <c r="G99" s="1"/>
    </row>
    <row r="100" spans="2:7" x14ac:dyDescent="0.35">
      <c r="B100" s="3"/>
      <c r="C100" s="3"/>
      <c r="D100" s="1"/>
      <c r="E100" s="1"/>
      <c r="F100" s="1"/>
      <c r="G100" s="1"/>
    </row>
    <row r="101" spans="2:7" x14ac:dyDescent="0.35">
      <c r="B101" s="3"/>
      <c r="C101" s="3"/>
      <c r="D101" s="2"/>
      <c r="E101" s="2"/>
      <c r="F101" s="2"/>
      <c r="G101" s="1"/>
    </row>
    <row r="102" spans="2:7" x14ac:dyDescent="0.35">
      <c r="B102" s="3"/>
      <c r="C102" s="3"/>
      <c r="D102" s="1"/>
      <c r="E102" s="1"/>
      <c r="F102" s="1"/>
      <c r="G102" s="1"/>
    </row>
    <row r="103" spans="2:7" x14ac:dyDescent="0.35">
      <c r="B103" s="3"/>
      <c r="C103" s="3"/>
      <c r="D103" s="1"/>
      <c r="E103" s="1"/>
      <c r="F103" s="1"/>
      <c r="G103" s="1"/>
    </row>
    <row r="104" spans="2:7" x14ac:dyDescent="0.35">
      <c r="B104" s="3"/>
      <c r="C104" s="3"/>
      <c r="D104" s="1"/>
      <c r="E104" s="1"/>
      <c r="F104" s="1"/>
      <c r="G104" s="1"/>
    </row>
    <row r="105" spans="2:7" x14ac:dyDescent="0.35">
      <c r="B105" s="3"/>
      <c r="C105" s="3"/>
      <c r="D105" s="1"/>
      <c r="E105" s="1"/>
      <c r="F105" s="1"/>
      <c r="G105" s="1"/>
    </row>
    <row r="106" spans="2:7" x14ac:dyDescent="0.35">
      <c r="B106" s="3"/>
      <c r="C106" s="3"/>
      <c r="D106" s="1"/>
      <c r="E106" s="1"/>
      <c r="F106" s="1"/>
      <c r="G106" s="1"/>
    </row>
    <row r="107" spans="2:7" x14ac:dyDescent="0.35">
      <c r="B107" s="3"/>
      <c r="C107" s="3"/>
      <c r="D107" s="2"/>
      <c r="E107" s="2"/>
      <c r="F107" s="2"/>
      <c r="G107" s="1"/>
    </row>
    <row r="108" spans="2:7" x14ac:dyDescent="0.35">
      <c r="B108" s="3"/>
      <c r="C108" s="3"/>
      <c r="D108" s="1"/>
      <c r="E108" s="1"/>
      <c r="F108" s="1"/>
      <c r="G108" s="1"/>
    </row>
    <row r="109" spans="2:7" x14ac:dyDescent="0.35">
      <c r="B109" s="3"/>
      <c r="C109" s="3"/>
      <c r="D109" s="1"/>
      <c r="E109" s="1"/>
      <c r="F109" s="1"/>
      <c r="G109" s="1"/>
    </row>
    <row r="110" spans="2:7" x14ac:dyDescent="0.35">
      <c r="B110" s="3"/>
      <c r="C110" s="3"/>
      <c r="D110" s="1"/>
      <c r="E110" s="1"/>
      <c r="F110" s="1"/>
      <c r="G110" s="1"/>
    </row>
    <row r="111" spans="2:7" x14ac:dyDescent="0.35">
      <c r="B111" s="3"/>
      <c r="C111" s="3"/>
      <c r="D111" s="1"/>
      <c r="E111" s="1"/>
      <c r="F111" s="1"/>
      <c r="G111" s="2"/>
    </row>
    <row r="112" spans="2:7" x14ac:dyDescent="0.35">
      <c r="B112" s="3"/>
      <c r="C112" s="3"/>
      <c r="D112" s="1"/>
      <c r="E112" s="1"/>
      <c r="F112" s="1"/>
      <c r="G112" s="1"/>
    </row>
    <row r="113" spans="2:7" x14ac:dyDescent="0.35">
      <c r="B113" s="3"/>
      <c r="C113" s="3"/>
      <c r="D113" s="1"/>
      <c r="E113" s="2"/>
      <c r="F113" s="1"/>
      <c r="G1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A797-8FB9-4A88-A7C6-5CC363190091}">
  <dimension ref="A1:L117"/>
  <sheetViews>
    <sheetView topLeftCell="A33" workbookViewId="0">
      <selection activeCell="A45" sqref="A1:J114"/>
    </sheetView>
  </sheetViews>
  <sheetFormatPr defaultRowHeight="14.5" x14ac:dyDescent="0.35"/>
  <cols>
    <col min="1" max="1" width="12.36328125" customWidth="1"/>
    <col min="2" max="2" width="13.81640625" customWidth="1"/>
    <col min="4" max="4" width="11.1796875" bestFit="1" customWidth="1"/>
    <col min="5" max="5" width="12.7265625" bestFit="1" customWidth="1"/>
    <col min="8" max="8" width="10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123</v>
      </c>
      <c r="E1" t="s">
        <v>122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131</v>
      </c>
    </row>
    <row r="2" spans="1:12" x14ac:dyDescent="0.35">
      <c r="A2" t="s">
        <v>8</v>
      </c>
      <c r="B2" t="s">
        <v>4</v>
      </c>
      <c r="C2">
        <v>2023</v>
      </c>
      <c r="D2" s="3">
        <v>334496.24602871202</v>
      </c>
      <c r="E2" s="3">
        <v>5331549.9395820601</v>
      </c>
      <c r="F2" s="1">
        <v>6.2739025202666096E-2</v>
      </c>
      <c r="G2" s="1">
        <v>6.1731297975361699E-2</v>
      </c>
      <c r="H2" s="1">
        <v>3.3973805628380399E-2</v>
      </c>
      <c r="I2" s="1">
        <v>4.8821079349724301E-2</v>
      </c>
      <c r="J2" s="9">
        <v>1</v>
      </c>
      <c r="K2">
        <f>EXP(-0.123*F2)</f>
        <v>0.99231279873024436</v>
      </c>
      <c r="L2">
        <f>EXP(-0.123*F2*10)</f>
        <v>0.92573339051759496</v>
      </c>
    </row>
    <row r="3" spans="1:12" x14ac:dyDescent="0.35">
      <c r="A3" t="s">
        <v>38</v>
      </c>
      <c r="B3" t="s">
        <v>4</v>
      </c>
      <c r="C3">
        <v>2023</v>
      </c>
      <c r="D3" s="3">
        <v>40163.838484738597</v>
      </c>
      <c r="E3" s="3">
        <v>3989337.0503622801</v>
      </c>
      <c r="F3" s="2">
        <v>1.0067797726214E-2</v>
      </c>
      <c r="G3" s="1">
        <v>1.03042893820884E-2</v>
      </c>
      <c r="H3" s="2">
        <v>5.8474906609939899E-3</v>
      </c>
      <c r="I3" s="1">
        <v>1.1223885868068899E-2</v>
      </c>
      <c r="J3" s="9">
        <v>1</v>
      </c>
      <c r="K3">
        <f t="shared" ref="K3:K66" si="0">EXP(-0.123*F3)</f>
        <v>0.99876242730516662</v>
      </c>
      <c r="L3">
        <f t="shared" ref="L3:L66" si="1">EXP(-0.123*F3*10)</f>
        <v>0.98769296746751134</v>
      </c>
    </row>
    <row r="4" spans="1:12" x14ac:dyDescent="0.35">
      <c r="A4" t="s">
        <v>37</v>
      </c>
      <c r="B4" t="s">
        <v>4</v>
      </c>
      <c r="C4">
        <v>2023</v>
      </c>
      <c r="D4" s="3">
        <v>40601.1222459442</v>
      </c>
      <c r="E4" s="3">
        <v>2754043.3151472998</v>
      </c>
      <c r="F4" s="1">
        <v>1.47423688010413E-2</v>
      </c>
      <c r="G4" s="1">
        <v>1.36176540594327E-2</v>
      </c>
      <c r="H4" s="1">
        <v>1.0983062015869099E-2</v>
      </c>
      <c r="I4" s="1">
        <v>5.0782182695629903E-2</v>
      </c>
      <c r="J4" s="9">
        <v>1</v>
      </c>
      <c r="K4">
        <f t="shared" si="0"/>
        <v>0.99818833169324672</v>
      </c>
      <c r="L4">
        <f t="shared" si="1"/>
        <v>0.9820303020438601</v>
      </c>
    </row>
    <row r="5" spans="1:12" x14ac:dyDescent="0.35">
      <c r="A5" t="s">
        <v>14</v>
      </c>
      <c r="B5" t="s">
        <v>4</v>
      </c>
      <c r="C5">
        <v>2023</v>
      </c>
      <c r="D5" s="3">
        <v>147944.81136347499</v>
      </c>
      <c r="E5" s="3">
        <v>2712221.50638365</v>
      </c>
      <c r="F5" s="1">
        <v>5.4547466353785198E-2</v>
      </c>
      <c r="G5" s="1">
        <v>5.9150635393716199E-2</v>
      </c>
      <c r="H5" s="1">
        <v>3.5953281285056898E-2</v>
      </c>
      <c r="I5" s="1">
        <v>0.10737125520429699</v>
      </c>
      <c r="J5" s="9">
        <v>1</v>
      </c>
      <c r="K5">
        <f t="shared" si="0"/>
        <v>0.99331311899636954</v>
      </c>
      <c r="L5">
        <f t="shared" si="1"/>
        <v>0.93510787350555713</v>
      </c>
    </row>
    <row r="6" spans="1:12" x14ac:dyDescent="0.35">
      <c r="A6" t="s">
        <v>90</v>
      </c>
      <c r="B6" t="s">
        <v>4</v>
      </c>
      <c r="C6">
        <v>2023</v>
      </c>
      <c r="D6" s="3">
        <v>290.78279132049198</v>
      </c>
      <c r="E6" s="3">
        <v>2616447.72753117</v>
      </c>
      <c r="F6" s="2">
        <v>1.11136480297608E-4</v>
      </c>
      <c r="G6" s="2">
        <v>1.11136480297608E-4</v>
      </c>
      <c r="H6" s="2">
        <v>1.0015531063095099E-4</v>
      </c>
      <c r="I6" s="2">
        <v>2.3907306145295901E-4</v>
      </c>
      <c r="J6" s="9">
        <v>1</v>
      </c>
      <c r="K6">
        <f t="shared" si="0"/>
        <v>0.99998633030635453</v>
      </c>
      <c r="L6">
        <f t="shared" si="1"/>
        <v>0.99986331147196217</v>
      </c>
    </row>
    <row r="7" spans="1:12" x14ac:dyDescent="0.35">
      <c r="A7" t="s">
        <v>36</v>
      </c>
      <c r="B7" t="s">
        <v>4</v>
      </c>
      <c r="C7">
        <v>2023</v>
      </c>
      <c r="D7" s="3">
        <v>43171.682618956998</v>
      </c>
      <c r="E7" s="4">
        <v>2554961.6894838498</v>
      </c>
      <c r="F7" s="1">
        <v>1.6897193721788599E-2</v>
      </c>
      <c r="G7" s="1">
        <v>1.6897193721788599E-2</v>
      </c>
      <c r="H7" s="2">
        <v>8.2284766424414405E-3</v>
      </c>
      <c r="I7" s="2">
        <v>2.98559917956518E-2</v>
      </c>
      <c r="J7" s="9">
        <v>0</v>
      </c>
      <c r="K7">
        <f t="shared" si="0"/>
        <v>0.99792380345612952</v>
      </c>
      <c r="L7">
        <f t="shared" si="1"/>
        <v>0.97943094114127094</v>
      </c>
    </row>
    <row r="8" spans="1:12" x14ac:dyDescent="0.35">
      <c r="A8" t="s">
        <v>15</v>
      </c>
      <c r="B8" t="s">
        <v>4</v>
      </c>
      <c r="C8">
        <v>2023</v>
      </c>
      <c r="D8" s="3">
        <v>147760.77954367001</v>
      </c>
      <c r="E8" s="3">
        <v>1267039.49627757</v>
      </c>
      <c r="F8" s="1">
        <v>0.116618921492009</v>
      </c>
      <c r="G8" s="1">
        <v>0.16008873442407501</v>
      </c>
      <c r="H8" s="1">
        <v>4.9583563987477E-2</v>
      </c>
      <c r="I8" s="2">
        <v>5.6993065566326703E-2</v>
      </c>
      <c r="J8" s="9">
        <v>1</v>
      </c>
      <c r="K8">
        <f t="shared" si="0"/>
        <v>0.98575825951643348</v>
      </c>
      <c r="L8">
        <f t="shared" si="1"/>
        <v>0.86637167772579649</v>
      </c>
    </row>
    <row r="9" spans="1:12" x14ac:dyDescent="0.35">
      <c r="A9" t="s">
        <v>11</v>
      </c>
      <c r="B9" t="s">
        <v>4</v>
      </c>
      <c r="C9">
        <v>2023</v>
      </c>
      <c r="D9" s="3">
        <v>258507.51419556499</v>
      </c>
      <c r="E9" s="3">
        <v>1081515.4299442801</v>
      </c>
      <c r="F9" s="1">
        <v>0.239023417547434</v>
      </c>
      <c r="G9" s="1">
        <v>0.24774438299271601</v>
      </c>
      <c r="H9" s="1">
        <v>0.119729399083139</v>
      </c>
      <c r="I9" s="1">
        <v>0.186970146685939</v>
      </c>
      <c r="J9" s="9">
        <v>1</v>
      </c>
      <c r="K9">
        <f t="shared" si="0"/>
        <v>0.97102809175918592</v>
      </c>
      <c r="L9">
        <f t="shared" si="1"/>
        <v>0.74527738310502978</v>
      </c>
    </row>
    <row r="10" spans="1:12" x14ac:dyDescent="0.35">
      <c r="A10" t="s">
        <v>45</v>
      </c>
      <c r="B10" t="s">
        <v>4</v>
      </c>
      <c r="C10">
        <v>2023</v>
      </c>
      <c r="D10" s="3">
        <v>24803.387184714</v>
      </c>
      <c r="E10" s="3">
        <v>1060983.84656125</v>
      </c>
      <c r="F10" s="1">
        <v>2.3377723671386699E-2</v>
      </c>
      <c r="G10" s="1">
        <v>4.1452786899394599E-2</v>
      </c>
      <c r="H10" s="2">
        <v>1.7391175614128701E-2</v>
      </c>
      <c r="I10" s="1">
        <v>7.0650011998844797E-2</v>
      </c>
      <c r="J10" s="9">
        <v>1</v>
      </c>
      <c r="K10">
        <f t="shared" si="0"/>
        <v>0.99712867016389195</v>
      </c>
      <c r="L10">
        <f t="shared" si="1"/>
        <v>0.97165487920676774</v>
      </c>
    </row>
    <row r="11" spans="1:12" x14ac:dyDescent="0.35">
      <c r="A11" t="s">
        <v>9</v>
      </c>
      <c r="B11" t="s">
        <v>4</v>
      </c>
      <c r="C11">
        <v>2023</v>
      </c>
      <c r="D11" s="3">
        <v>315235.02332907502</v>
      </c>
      <c r="E11" s="3">
        <v>1036586.43413146</v>
      </c>
      <c r="F11" s="1">
        <v>0.304108767922672</v>
      </c>
      <c r="G11" s="2">
        <v>0.36726958403474103</v>
      </c>
      <c r="H11" s="1">
        <v>0.14866980096816401</v>
      </c>
      <c r="I11" s="1">
        <v>0.32402575402894601</v>
      </c>
      <c r="J11" s="9">
        <v>1</v>
      </c>
      <c r="K11">
        <f t="shared" si="0"/>
        <v>0.96328556097724427</v>
      </c>
      <c r="L11">
        <f t="shared" si="1"/>
        <v>0.68793991029894841</v>
      </c>
    </row>
    <row r="12" spans="1:12" x14ac:dyDescent="0.35">
      <c r="A12" t="s">
        <v>3</v>
      </c>
      <c r="B12" t="s">
        <v>4</v>
      </c>
      <c r="C12">
        <v>2023</v>
      </c>
      <c r="D12" s="3">
        <v>4824681.6253978796</v>
      </c>
      <c r="E12" s="3">
        <v>896881.95964980999</v>
      </c>
      <c r="F12" s="1">
        <v>5.3793942151336003</v>
      </c>
      <c r="G12" s="1">
        <v>5.3793942151336003</v>
      </c>
      <c r="H12" s="1">
        <v>0.70273353996101895</v>
      </c>
      <c r="I12" s="1">
        <v>0.86261520875658504</v>
      </c>
      <c r="J12" s="9">
        <v>1</v>
      </c>
      <c r="K12">
        <f t="shared" si="0"/>
        <v>0.51599124099453908</v>
      </c>
      <c r="L12">
        <f t="shared" si="1"/>
        <v>1.3378988947216279E-3</v>
      </c>
    </row>
    <row r="13" spans="1:12" x14ac:dyDescent="0.35">
      <c r="A13" t="s">
        <v>19</v>
      </c>
      <c r="B13" t="s">
        <v>4</v>
      </c>
      <c r="C13">
        <v>2023</v>
      </c>
      <c r="D13" s="3">
        <v>90355.604735064306</v>
      </c>
      <c r="E13" s="3">
        <v>860436.52877932298</v>
      </c>
      <c r="F13" s="1">
        <v>0.105011353787186</v>
      </c>
      <c r="G13" s="1">
        <v>0.105011353787186</v>
      </c>
      <c r="H13" s="1">
        <v>6.8092222734877E-2</v>
      </c>
      <c r="I13" s="1">
        <v>0.19151943558305301</v>
      </c>
      <c r="J13" s="9">
        <v>0</v>
      </c>
      <c r="K13">
        <f t="shared" si="0"/>
        <v>0.98716666214287963</v>
      </c>
      <c r="L13">
        <f t="shared" si="1"/>
        <v>0.87882985625500887</v>
      </c>
    </row>
    <row r="14" spans="1:12" x14ac:dyDescent="0.35">
      <c r="A14" t="s">
        <v>31</v>
      </c>
      <c r="B14" t="s">
        <v>4</v>
      </c>
      <c r="C14">
        <v>2023</v>
      </c>
      <c r="D14" s="3">
        <v>53867.3822455396</v>
      </c>
      <c r="E14" s="3">
        <v>847561.21473512403</v>
      </c>
      <c r="F14" s="2">
        <v>6.3555742416049596E-2</v>
      </c>
      <c r="G14" s="1">
        <v>8.7147495558776003E-2</v>
      </c>
      <c r="H14" s="1">
        <v>4.3428370539265702E-2</v>
      </c>
      <c r="I14" s="1">
        <v>0.13374612562480401</v>
      </c>
      <c r="J14" s="9">
        <v>1</v>
      </c>
      <c r="K14">
        <f t="shared" si="0"/>
        <v>0.99221311974692961</v>
      </c>
      <c r="L14">
        <f t="shared" si="1"/>
        <v>0.92480390071500973</v>
      </c>
    </row>
    <row r="15" spans="1:12" x14ac:dyDescent="0.35">
      <c r="A15" t="s">
        <v>18</v>
      </c>
      <c r="B15" t="s">
        <v>4</v>
      </c>
      <c r="C15">
        <v>2023</v>
      </c>
      <c r="D15" s="4">
        <v>93023.247421906606</v>
      </c>
      <c r="E15" s="3">
        <v>684042.79343990097</v>
      </c>
      <c r="F15" s="1">
        <v>0.13599039170358401</v>
      </c>
      <c r="G15" s="1">
        <v>0.13599039170358401</v>
      </c>
      <c r="H15" s="1">
        <v>7.1115534283407403E-2</v>
      </c>
      <c r="I15" s="1">
        <v>0.143697397163316</v>
      </c>
      <c r="J15" s="9">
        <v>1</v>
      </c>
      <c r="K15">
        <f t="shared" si="0"/>
        <v>0.98341229830496635</v>
      </c>
      <c r="L15">
        <f t="shared" si="1"/>
        <v>0.84597270643338818</v>
      </c>
    </row>
    <row r="16" spans="1:12" x14ac:dyDescent="0.35">
      <c r="A16" t="s">
        <v>13</v>
      </c>
      <c r="B16" t="s">
        <v>4</v>
      </c>
      <c r="C16">
        <v>2023</v>
      </c>
      <c r="D16" s="3">
        <v>165775.31406757401</v>
      </c>
      <c r="E16" s="3">
        <v>678708.519748174</v>
      </c>
      <c r="F16" s="1">
        <v>0.244251117002455</v>
      </c>
      <c r="G16" s="1">
        <v>0.24853297208743599</v>
      </c>
      <c r="H16" s="1">
        <v>0.108339726403683</v>
      </c>
      <c r="I16" s="1">
        <v>0.211647823088327</v>
      </c>
      <c r="J16" s="9">
        <v>0</v>
      </c>
      <c r="K16">
        <f t="shared" si="0"/>
        <v>0.97040391456364483</v>
      </c>
      <c r="L16">
        <f t="shared" si="1"/>
        <v>0.7405005711932362</v>
      </c>
    </row>
    <row r="17" spans="1:12" x14ac:dyDescent="0.35">
      <c r="A17" t="s">
        <v>116</v>
      </c>
      <c r="B17" t="s">
        <v>4</v>
      </c>
      <c r="C17">
        <v>2023</v>
      </c>
      <c r="D17" s="3">
        <v>0.40520847148426198</v>
      </c>
      <c r="E17" s="3">
        <v>610262.71667523996</v>
      </c>
      <c r="F17" s="1">
        <v>6.6399021341475602E-7</v>
      </c>
      <c r="G17" s="1">
        <v>6.6399021341475602E-7</v>
      </c>
      <c r="H17" s="1">
        <v>6.6399021341475602E-7</v>
      </c>
      <c r="I17" s="1">
        <v>1.11170813955642E-5</v>
      </c>
      <c r="J17" s="9">
        <v>0</v>
      </c>
      <c r="K17">
        <f t="shared" si="0"/>
        <v>0.99999991832920709</v>
      </c>
      <c r="L17">
        <f t="shared" si="1"/>
        <v>0.99999918329237103</v>
      </c>
    </row>
    <row r="18" spans="1:12" x14ac:dyDescent="0.35">
      <c r="A18" t="s">
        <v>30</v>
      </c>
      <c r="B18" t="s">
        <v>4</v>
      </c>
      <c r="C18">
        <v>2023</v>
      </c>
      <c r="D18" s="3">
        <v>56357.848276999001</v>
      </c>
      <c r="E18" s="3">
        <v>551670.56131970102</v>
      </c>
      <c r="F18" s="1">
        <v>0.10215852037161401</v>
      </c>
      <c r="G18" s="1">
        <v>0.10215852037161401</v>
      </c>
      <c r="H18" s="2">
        <v>5.3904247821614702E-2</v>
      </c>
      <c r="I18" s="1">
        <v>0.134034508980689</v>
      </c>
      <c r="J18" s="9">
        <v>0</v>
      </c>
      <c r="K18">
        <f t="shared" si="0"/>
        <v>0.9875131182357697</v>
      </c>
      <c r="L18">
        <f t="shared" si="1"/>
        <v>0.88191907396673086</v>
      </c>
    </row>
    <row r="19" spans="1:12" x14ac:dyDescent="0.35">
      <c r="A19" t="s">
        <v>10</v>
      </c>
      <c r="B19" t="s">
        <v>4</v>
      </c>
      <c r="C19">
        <v>2023</v>
      </c>
      <c r="D19" s="4">
        <v>284478.89299455902</v>
      </c>
      <c r="E19" s="3">
        <v>479424.500894072</v>
      </c>
      <c r="F19" s="1">
        <v>0.59337579215087699</v>
      </c>
      <c r="G19" s="1">
        <v>0.59337579215087699</v>
      </c>
      <c r="H19" s="1">
        <v>0.29943358985282098</v>
      </c>
      <c r="I19" s="1">
        <v>0.66232243551440295</v>
      </c>
      <c r="J19" s="9">
        <v>0</v>
      </c>
      <c r="K19">
        <f t="shared" si="0"/>
        <v>0.92961456736439541</v>
      </c>
      <c r="L19">
        <f t="shared" si="1"/>
        <v>0.48198020976872225</v>
      </c>
    </row>
    <row r="20" spans="1:12" x14ac:dyDescent="0.35">
      <c r="A20" t="s">
        <v>111</v>
      </c>
      <c r="B20" t="s">
        <v>4</v>
      </c>
      <c r="C20">
        <v>2023</v>
      </c>
      <c r="D20" s="3">
        <v>2.9628286407972402</v>
      </c>
      <c r="E20" s="3">
        <v>443733.14833511098</v>
      </c>
      <c r="F20" s="1">
        <v>6.6770505018923898E-6</v>
      </c>
      <c r="G20" s="1">
        <v>6.6770505018923898E-6</v>
      </c>
      <c r="H20" s="1">
        <v>6.6770505018923898E-6</v>
      </c>
      <c r="I20" s="2">
        <v>1.19814940378451E-4</v>
      </c>
      <c r="J20" s="9">
        <v>0</v>
      </c>
      <c r="K20">
        <f t="shared" si="0"/>
        <v>0.99999917872312549</v>
      </c>
      <c r="L20">
        <f t="shared" si="1"/>
        <v>0.99999178726160742</v>
      </c>
    </row>
    <row r="21" spans="1:12" x14ac:dyDescent="0.35">
      <c r="A21" t="s">
        <v>16</v>
      </c>
      <c r="B21" t="s">
        <v>4</v>
      </c>
      <c r="C21">
        <v>2023</v>
      </c>
      <c r="D21" s="3">
        <v>104936.56946847901</v>
      </c>
      <c r="E21" s="3">
        <v>411507.93717235798</v>
      </c>
      <c r="F21" s="1">
        <v>0.25500497071707001</v>
      </c>
      <c r="G21" s="1">
        <v>0.25500497071707001</v>
      </c>
      <c r="H21" s="1">
        <v>7.8364809692076501E-2</v>
      </c>
      <c r="I21" s="1">
        <v>0.18237076627575399</v>
      </c>
      <c r="J21" s="9">
        <v>0</v>
      </c>
      <c r="K21">
        <f t="shared" si="0"/>
        <v>0.96912118654405854</v>
      </c>
      <c r="L21">
        <f t="shared" si="1"/>
        <v>0.73077028663875754</v>
      </c>
    </row>
    <row r="22" spans="1:12" x14ac:dyDescent="0.35">
      <c r="A22" t="s">
        <v>20</v>
      </c>
      <c r="B22" t="s">
        <v>4</v>
      </c>
      <c r="C22">
        <v>2023</v>
      </c>
      <c r="D22" s="3">
        <v>85358.028547527603</v>
      </c>
      <c r="E22" s="3">
        <v>321370.32164635998</v>
      </c>
      <c r="F22" s="1">
        <v>0.26560644464692201</v>
      </c>
      <c r="G22" s="1">
        <v>0.26560644464692201</v>
      </c>
      <c r="H22" s="1">
        <v>0.13736464781772301</v>
      </c>
      <c r="I22" s="1">
        <v>0.24989201104914199</v>
      </c>
      <c r="J22" s="9">
        <v>0</v>
      </c>
      <c r="K22">
        <f t="shared" si="0"/>
        <v>0.96785829421872716</v>
      </c>
      <c r="L22">
        <f t="shared" si="1"/>
        <v>0.72130303852361699</v>
      </c>
    </row>
    <row r="23" spans="1:12" x14ac:dyDescent="0.35">
      <c r="A23" t="s">
        <v>5</v>
      </c>
      <c r="B23" t="s">
        <v>4</v>
      </c>
      <c r="C23">
        <v>2023</v>
      </c>
      <c r="D23" s="3">
        <v>752108.27460575302</v>
      </c>
      <c r="E23" s="3">
        <v>318660.96159217</v>
      </c>
      <c r="F23" s="2">
        <v>2.3602146646639399</v>
      </c>
      <c r="G23" s="2">
        <v>2.3602146646639399</v>
      </c>
      <c r="H23" s="1">
        <v>0.49092812752206599</v>
      </c>
      <c r="I23" s="1">
        <v>0.66990855312360498</v>
      </c>
      <c r="J23" s="9">
        <v>0</v>
      </c>
      <c r="K23">
        <f t="shared" si="0"/>
        <v>0.74803433193385316</v>
      </c>
      <c r="L23">
        <f t="shared" si="1"/>
        <v>5.48548848691323E-2</v>
      </c>
    </row>
    <row r="24" spans="1:12" x14ac:dyDescent="0.35">
      <c r="A24" t="s">
        <v>86</v>
      </c>
      <c r="B24" t="s">
        <v>4</v>
      </c>
      <c r="C24">
        <v>2023</v>
      </c>
      <c r="D24" s="3">
        <v>648.56444554384098</v>
      </c>
      <c r="E24" s="3">
        <v>318030.11872994603</v>
      </c>
      <c r="F24" s="2">
        <v>2.0393176851735998E-3</v>
      </c>
      <c r="G24" s="2">
        <v>2.0393176851735998E-3</v>
      </c>
      <c r="H24" s="2">
        <v>2.02265116269008E-3</v>
      </c>
      <c r="I24" s="1">
        <v>1.3348019480893199E-2</v>
      </c>
      <c r="J24" s="9">
        <v>0</v>
      </c>
      <c r="K24">
        <f t="shared" si="0"/>
        <v>0.99974919538146179</v>
      </c>
      <c r="L24">
        <f t="shared" si="1"/>
        <v>0.99749478255533663</v>
      </c>
    </row>
    <row r="25" spans="1:12" x14ac:dyDescent="0.35">
      <c r="A25" t="s">
        <v>34</v>
      </c>
      <c r="B25" t="s">
        <v>4</v>
      </c>
      <c r="C25">
        <v>2023</v>
      </c>
      <c r="D25" s="3">
        <v>47298.9354589797</v>
      </c>
      <c r="E25" s="3">
        <v>285377.857648434</v>
      </c>
      <c r="F25" s="1">
        <v>0.16574143435209501</v>
      </c>
      <c r="G25" s="1">
        <v>0.16574143435209501</v>
      </c>
      <c r="H25" s="1">
        <v>8.6017382866050901E-2</v>
      </c>
      <c r="I25" s="1">
        <v>0.27969022232256502</v>
      </c>
      <c r="J25" s="9">
        <v>0</v>
      </c>
      <c r="K25">
        <f t="shared" si="0"/>
        <v>0.97982019717080238</v>
      </c>
      <c r="L25">
        <f t="shared" si="1"/>
        <v>0.8155749419140006</v>
      </c>
    </row>
    <row r="26" spans="1:12" x14ac:dyDescent="0.35">
      <c r="A26" t="s">
        <v>70</v>
      </c>
      <c r="B26" t="s">
        <v>4</v>
      </c>
      <c r="C26">
        <v>2023</v>
      </c>
      <c r="D26" s="3">
        <v>1943.5152505140099</v>
      </c>
      <c r="E26" s="3">
        <v>279843.64502382901</v>
      </c>
      <c r="F26" s="2">
        <v>6.9450040587790097E-3</v>
      </c>
      <c r="G26" s="2">
        <v>6.1552512966099098E-3</v>
      </c>
      <c r="H26" s="2">
        <v>5.3654158453532198E-3</v>
      </c>
      <c r="I26" s="1">
        <v>1.8198636243309699E-2</v>
      </c>
      <c r="J26" s="9">
        <v>0</v>
      </c>
      <c r="K26">
        <f t="shared" si="0"/>
        <v>0.99914612925604451</v>
      </c>
      <c r="L26">
        <f t="shared" si="1"/>
        <v>0.9914940272517232</v>
      </c>
    </row>
    <row r="27" spans="1:12" x14ac:dyDescent="0.35">
      <c r="A27" t="s">
        <v>29</v>
      </c>
      <c r="B27" t="s">
        <v>4</v>
      </c>
      <c r="C27">
        <v>2023</v>
      </c>
      <c r="D27" s="3">
        <v>60778.456303145504</v>
      </c>
      <c r="E27" s="3">
        <v>276168.013712299</v>
      </c>
      <c r="F27" s="1">
        <v>0.220077826849499</v>
      </c>
      <c r="G27" s="1">
        <v>0.33446004991172801</v>
      </c>
      <c r="H27" s="1">
        <v>0.101821813464337</v>
      </c>
      <c r="I27" s="1">
        <v>0.20499482795057</v>
      </c>
      <c r="J27" s="9">
        <v>0</v>
      </c>
      <c r="K27">
        <f t="shared" si="0"/>
        <v>0.97329352450792173</v>
      </c>
      <c r="L27">
        <f t="shared" si="1"/>
        <v>0.76284857530117689</v>
      </c>
    </row>
    <row r="28" spans="1:12" x14ac:dyDescent="0.35">
      <c r="A28" t="s">
        <v>63</v>
      </c>
      <c r="B28" t="s">
        <v>4</v>
      </c>
      <c r="C28">
        <v>2023</v>
      </c>
      <c r="D28" s="3">
        <v>2936.5581152155601</v>
      </c>
      <c r="E28" s="3">
        <v>269566.83317793201</v>
      </c>
      <c r="F28" s="1">
        <v>1.0893618033778E-2</v>
      </c>
      <c r="G28" s="1">
        <v>1.0893618033778E-2</v>
      </c>
      <c r="H28" s="1">
        <v>1.07089626506823E-2</v>
      </c>
      <c r="I28" s="1">
        <v>7.0388950823733407E-2</v>
      </c>
      <c r="J28" s="9">
        <v>0</v>
      </c>
      <c r="K28">
        <f t="shared" si="0"/>
        <v>0.99866098226716649</v>
      </c>
      <c r="L28">
        <f t="shared" si="1"/>
        <v>0.98669021882968155</v>
      </c>
    </row>
    <row r="29" spans="1:12" x14ac:dyDescent="0.35">
      <c r="A29" t="s">
        <v>25</v>
      </c>
      <c r="B29" t="s">
        <v>4</v>
      </c>
      <c r="C29">
        <v>2023</v>
      </c>
      <c r="D29" s="3">
        <v>66870.118603258903</v>
      </c>
      <c r="E29" s="3">
        <v>229082.45316088799</v>
      </c>
      <c r="F29" s="1">
        <v>0.29190414927281599</v>
      </c>
      <c r="G29" s="1">
        <v>0.310332461672927</v>
      </c>
      <c r="H29" s="1">
        <v>0.21341014581106399</v>
      </c>
      <c r="I29" s="1">
        <v>0.45261190475408303</v>
      </c>
      <c r="J29" s="9">
        <v>0</v>
      </c>
      <c r="K29">
        <f t="shared" si="0"/>
        <v>0.96473270045477322</v>
      </c>
      <c r="L29">
        <f t="shared" si="1"/>
        <v>0.69834494789234869</v>
      </c>
    </row>
    <row r="30" spans="1:12" x14ac:dyDescent="0.35">
      <c r="A30" t="s">
        <v>6</v>
      </c>
      <c r="B30" t="s">
        <v>4</v>
      </c>
      <c r="C30">
        <v>2023</v>
      </c>
      <c r="D30" s="3">
        <v>445612.83994804998</v>
      </c>
      <c r="E30" s="3">
        <v>213460.95008184499</v>
      </c>
      <c r="F30" s="2">
        <v>2.08756140070206</v>
      </c>
      <c r="G30" s="1">
        <v>2.5864585288744699</v>
      </c>
      <c r="H30" s="1">
        <v>0.407798708553262</v>
      </c>
      <c r="I30" s="1">
        <v>0.59235652013590701</v>
      </c>
      <c r="J30" s="9">
        <v>0</v>
      </c>
      <c r="K30">
        <f t="shared" si="0"/>
        <v>0.7735460684658686</v>
      </c>
      <c r="L30">
        <f t="shared" si="1"/>
        <v>7.6711739660413003E-2</v>
      </c>
    </row>
    <row r="31" spans="1:12" x14ac:dyDescent="0.35">
      <c r="A31" t="s">
        <v>28</v>
      </c>
      <c r="B31" t="s">
        <v>4</v>
      </c>
      <c r="C31">
        <v>2023</v>
      </c>
      <c r="D31" s="3">
        <v>61511.552233112001</v>
      </c>
      <c r="E31" s="3">
        <v>203967.10785236501</v>
      </c>
      <c r="F31" s="1">
        <v>0.30157584171676799</v>
      </c>
      <c r="G31" s="1">
        <v>0.55602177207298797</v>
      </c>
      <c r="H31" s="1">
        <v>0.164455600513912</v>
      </c>
      <c r="I31" s="1">
        <v>0.27906553598800199</v>
      </c>
      <c r="J31" s="9">
        <v>0</v>
      </c>
      <c r="K31">
        <f t="shared" si="0"/>
        <v>0.96358571927462744</v>
      </c>
      <c r="L31">
        <f t="shared" si="1"/>
        <v>0.69008652871972076</v>
      </c>
    </row>
    <row r="32" spans="1:12" x14ac:dyDescent="0.35">
      <c r="A32" t="s">
        <v>113</v>
      </c>
      <c r="B32" t="s">
        <v>4</v>
      </c>
      <c r="C32">
        <v>2023</v>
      </c>
      <c r="D32" s="3">
        <v>1.9978027556039999</v>
      </c>
      <c r="E32" s="3">
        <v>195257.928968216</v>
      </c>
      <c r="F32" s="1">
        <v>1.0231608857887601E-5</v>
      </c>
      <c r="G32" s="1">
        <v>1.0231608857887601E-5</v>
      </c>
      <c r="H32" s="1">
        <v>1.0231608857887601E-5</v>
      </c>
      <c r="I32" s="2">
        <v>1.8939393939393899E-4</v>
      </c>
      <c r="J32" s="9">
        <v>0</v>
      </c>
      <c r="K32">
        <f t="shared" si="0"/>
        <v>0.99999874151290236</v>
      </c>
      <c r="L32">
        <f t="shared" si="1"/>
        <v>0.99998741520029411</v>
      </c>
    </row>
    <row r="33" spans="1:12" x14ac:dyDescent="0.35">
      <c r="A33" t="s">
        <v>7</v>
      </c>
      <c r="B33" t="s">
        <v>4</v>
      </c>
      <c r="C33">
        <v>2023</v>
      </c>
      <c r="D33" s="3">
        <v>341012.30712446099</v>
      </c>
      <c r="E33" s="3">
        <v>193399.99807728501</v>
      </c>
      <c r="F33" s="1">
        <v>1.76324876170985</v>
      </c>
      <c r="G33" s="1">
        <v>1.76324876170985</v>
      </c>
      <c r="H33" s="1">
        <v>0.441947023227441</v>
      </c>
      <c r="I33" s="1">
        <v>0.61093654711775802</v>
      </c>
      <c r="J33" s="9">
        <v>0</v>
      </c>
      <c r="K33">
        <f t="shared" si="0"/>
        <v>0.80502689056709809</v>
      </c>
      <c r="L33">
        <f t="shared" si="1"/>
        <v>0.11431517219199466</v>
      </c>
    </row>
    <row r="34" spans="1:12" x14ac:dyDescent="0.35">
      <c r="A34" t="s">
        <v>21</v>
      </c>
      <c r="B34" t="s">
        <v>4</v>
      </c>
      <c r="C34">
        <v>2023</v>
      </c>
      <c r="D34" s="3">
        <v>85010.077098170295</v>
      </c>
      <c r="E34" s="3">
        <v>186565.679830468</v>
      </c>
      <c r="F34" s="2">
        <v>0.45565763850788898</v>
      </c>
      <c r="G34" s="2">
        <v>0.45565763850788898</v>
      </c>
      <c r="H34" s="1">
        <v>5.2795716578214899E-2</v>
      </c>
      <c r="I34" s="1">
        <v>0.100771796557349</v>
      </c>
      <c r="J34" s="9">
        <v>0</v>
      </c>
      <c r="K34">
        <f t="shared" si="0"/>
        <v>0.94549574653330204</v>
      </c>
      <c r="L34">
        <f t="shared" si="1"/>
        <v>0.57094699879195698</v>
      </c>
    </row>
    <row r="35" spans="1:12" x14ac:dyDescent="0.35">
      <c r="A35" t="s">
        <v>24</v>
      </c>
      <c r="B35" t="s">
        <v>4</v>
      </c>
      <c r="C35">
        <v>2023</v>
      </c>
      <c r="D35" s="3">
        <v>67848.255928281695</v>
      </c>
      <c r="E35" s="3">
        <v>179893.91073088601</v>
      </c>
      <c r="F35" s="1">
        <v>0.37715704579784098</v>
      </c>
      <c r="G35" s="1">
        <v>0.40451598528125599</v>
      </c>
      <c r="H35" s="1">
        <v>0.10712045813320301</v>
      </c>
      <c r="I35" s="1">
        <v>0.24519690915088099</v>
      </c>
      <c r="J35" s="9">
        <v>0</v>
      </c>
      <c r="K35">
        <f t="shared" si="0"/>
        <v>0.95466926616699044</v>
      </c>
      <c r="L35">
        <f t="shared" si="1"/>
        <v>0.62882444289677186</v>
      </c>
    </row>
    <row r="36" spans="1:12" x14ac:dyDescent="0.35">
      <c r="A36" t="s">
        <v>57</v>
      </c>
      <c r="B36" t="s">
        <v>4</v>
      </c>
      <c r="C36">
        <v>2023</v>
      </c>
      <c r="D36" s="4">
        <v>5203.6171891311296</v>
      </c>
      <c r="E36" s="3">
        <v>160872.17757159</v>
      </c>
      <c r="F36" s="1">
        <v>3.2346284284088998E-2</v>
      </c>
      <c r="G36" s="1">
        <v>3.2346284284088998E-2</v>
      </c>
      <c r="H36" s="1">
        <v>1.63241624439837E-2</v>
      </c>
      <c r="I36" s="1">
        <v>3.8979380472648498E-2</v>
      </c>
      <c r="J36" s="9">
        <v>0</v>
      </c>
      <c r="K36">
        <f t="shared" si="0"/>
        <v>0.99602931114816196</v>
      </c>
      <c r="L36">
        <f t="shared" si="1"/>
        <v>0.9609951376813618</v>
      </c>
    </row>
    <row r="37" spans="1:12" x14ac:dyDescent="0.35">
      <c r="A37" t="s">
        <v>12</v>
      </c>
      <c r="B37" t="s">
        <v>4</v>
      </c>
      <c r="C37">
        <v>2023</v>
      </c>
      <c r="D37" s="3">
        <v>208080.780768236</v>
      </c>
      <c r="E37" s="3">
        <v>157549.604743787</v>
      </c>
      <c r="F37" s="1">
        <v>1.3207318489095801</v>
      </c>
      <c r="G37" s="1">
        <v>1.3242682889277799</v>
      </c>
      <c r="H37" s="1">
        <v>0.33491653633712598</v>
      </c>
      <c r="I37" s="2">
        <v>0.50018234865061995</v>
      </c>
      <c r="J37" s="9">
        <v>0</v>
      </c>
      <c r="K37">
        <f t="shared" si="0"/>
        <v>0.85005857728793033</v>
      </c>
      <c r="L37">
        <f t="shared" si="1"/>
        <v>0.19701012134881238</v>
      </c>
    </row>
    <row r="38" spans="1:12" x14ac:dyDescent="0.35">
      <c r="A38" t="s">
        <v>71</v>
      </c>
      <c r="B38" t="s">
        <v>4</v>
      </c>
      <c r="C38">
        <v>2023</v>
      </c>
      <c r="D38" s="3">
        <v>1762.39498653992</v>
      </c>
      <c r="E38" s="3">
        <v>154402.374572492</v>
      </c>
      <c r="F38" s="1">
        <v>1.1414299756850399E-2</v>
      </c>
      <c r="G38" s="1">
        <v>1.1414299756850399E-2</v>
      </c>
      <c r="H38" s="2">
        <v>9.1916822107554995E-3</v>
      </c>
      <c r="I38" s="1">
        <v>4.1575269491100499E-2</v>
      </c>
      <c r="J38" s="9">
        <v>0</v>
      </c>
      <c r="K38">
        <f t="shared" si="0"/>
        <v>0.99859702621909974</v>
      </c>
      <c r="L38">
        <f t="shared" si="1"/>
        <v>0.9860585067148262</v>
      </c>
    </row>
    <row r="39" spans="1:12" x14ac:dyDescent="0.35">
      <c r="A39" t="s">
        <v>53</v>
      </c>
      <c r="B39" t="s">
        <v>4</v>
      </c>
      <c r="C39">
        <v>2023</v>
      </c>
      <c r="D39" s="3">
        <v>9190.0064382942401</v>
      </c>
      <c r="E39" s="3">
        <v>153446.67548488599</v>
      </c>
      <c r="F39" s="2">
        <v>5.9890554221876197E-2</v>
      </c>
      <c r="G39" s="2">
        <v>5.9890554221876197E-2</v>
      </c>
      <c r="H39" s="1">
        <v>4.0328920587408702E-2</v>
      </c>
      <c r="I39" s="1">
        <v>0.11010785801311</v>
      </c>
      <c r="J39" s="9">
        <v>0</v>
      </c>
      <c r="K39">
        <f t="shared" si="0"/>
        <v>0.99266052827024287</v>
      </c>
      <c r="L39">
        <f t="shared" si="1"/>
        <v>0.92898249638853592</v>
      </c>
    </row>
    <row r="40" spans="1:12" x14ac:dyDescent="0.35">
      <c r="A40" t="s">
        <v>47</v>
      </c>
      <c r="B40" t="s">
        <v>4</v>
      </c>
      <c r="C40">
        <v>2023</v>
      </c>
      <c r="D40" s="3">
        <v>19481.468768793398</v>
      </c>
      <c r="E40" s="3">
        <v>149393.95968293</v>
      </c>
      <c r="F40" s="1">
        <v>0.130403322933138</v>
      </c>
      <c r="G40" s="1">
        <v>0.189085018261022</v>
      </c>
      <c r="H40" s="1">
        <v>6.1277749154553099E-2</v>
      </c>
      <c r="I40" s="1">
        <v>0.13606590332280699</v>
      </c>
      <c r="J40" s="9">
        <v>0</v>
      </c>
      <c r="K40">
        <f t="shared" si="0"/>
        <v>0.98408834080302132</v>
      </c>
      <c r="L40">
        <f t="shared" si="1"/>
        <v>0.85180633254772697</v>
      </c>
    </row>
    <row r="41" spans="1:12" x14ac:dyDescent="0.35">
      <c r="A41" t="s">
        <v>73</v>
      </c>
      <c r="B41" t="s">
        <v>4</v>
      </c>
      <c r="C41">
        <v>2023</v>
      </c>
      <c r="D41" s="3">
        <v>1582.9145101757699</v>
      </c>
      <c r="E41" s="3">
        <v>148478.42454236801</v>
      </c>
      <c r="F41" s="1">
        <v>1.0660905886188799E-2</v>
      </c>
      <c r="G41" s="1">
        <v>1.0660905886188799E-2</v>
      </c>
      <c r="H41" s="2">
        <v>3.9718703719664097E-3</v>
      </c>
      <c r="I41" s="1">
        <v>1.7064536625215499E-2</v>
      </c>
      <c r="J41" s="9">
        <v>0</v>
      </c>
      <c r="K41">
        <f t="shared" si="0"/>
        <v>0.99868956794293029</v>
      </c>
      <c r="L41">
        <f t="shared" si="1"/>
        <v>0.98697268545759342</v>
      </c>
    </row>
    <row r="42" spans="1:12" x14ac:dyDescent="0.35">
      <c r="A42" t="s">
        <v>100</v>
      </c>
      <c r="B42" t="s">
        <v>4</v>
      </c>
      <c r="C42">
        <v>2023</v>
      </c>
      <c r="D42" s="3">
        <v>127.65656928772</v>
      </c>
      <c r="E42" s="3">
        <v>140476.477433594</v>
      </c>
      <c r="F42" s="2">
        <v>9.0873982334918298E-4</v>
      </c>
      <c r="G42" s="2">
        <v>9.0873982334918298E-4</v>
      </c>
      <c r="H42" s="2">
        <v>8.9527879205390001E-4</v>
      </c>
      <c r="I42" s="1">
        <v>1.1107191713054101E-2</v>
      </c>
      <c r="J42" s="9">
        <v>0</v>
      </c>
      <c r="K42">
        <f t="shared" si="0"/>
        <v>0.99988823124832038</v>
      </c>
      <c r="L42">
        <f t="shared" si="1"/>
        <v>0.99888287446711121</v>
      </c>
    </row>
    <row r="43" spans="1:12" x14ac:dyDescent="0.35">
      <c r="A43" t="s">
        <v>40</v>
      </c>
      <c r="B43" t="s">
        <v>4</v>
      </c>
      <c r="C43">
        <v>2023</v>
      </c>
      <c r="D43" s="3">
        <v>37036.371829431198</v>
      </c>
      <c r="E43" s="3">
        <v>122622.306376252</v>
      </c>
      <c r="F43" s="1">
        <v>0.30203617044837899</v>
      </c>
      <c r="G43" s="1">
        <v>0.34335721234750899</v>
      </c>
      <c r="H43" s="1">
        <v>0.15299951359385899</v>
      </c>
      <c r="I43" s="1">
        <v>0.33791516002383398</v>
      </c>
      <c r="J43" s="9">
        <v>0</v>
      </c>
      <c r="K43">
        <f t="shared" si="0"/>
        <v>0.96353116217755508</v>
      </c>
      <c r="L43">
        <f t="shared" si="1"/>
        <v>0.68969590932789893</v>
      </c>
    </row>
    <row r="44" spans="1:12" x14ac:dyDescent="0.35">
      <c r="A44" t="s">
        <v>72</v>
      </c>
      <c r="B44" t="s">
        <v>4</v>
      </c>
      <c r="C44">
        <v>2023</v>
      </c>
      <c r="D44" s="3">
        <v>1695.7234979741099</v>
      </c>
      <c r="E44" s="3">
        <v>122131.190413508</v>
      </c>
      <c r="F44" s="1">
        <v>1.38844425591267E-2</v>
      </c>
      <c r="G44" s="1">
        <v>1.38844425591267E-2</v>
      </c>
      <c r="H44" s="1">
        <v>1.2985925646516801E-2</v>
      </c>
      <c r="I44" s="1">
        <v>9.1699214365880993E-2</v>
      </c>
      <c r="J44" s="9">
        <v>0</v>
      </c>
      <c r="K44">
        <f t="shared" si="0"/>
        <v>0.99829367100269872</v>
      </c>
      <c r="L44">
        <f t="shared" si="1"/>
        <v>0.98306713577343707</v>
      </c>
    </row>
    <row r="45" spans="1:12" x14ac:dyDescent="0.35">
      <c r="A45" t="s">
        <v>104</v>
      </c>
      <c r="B45" t="s">
        <v>4</v>
      </c>
      <c r="C45">
        <v>2023</v>
      </c>
      <c r="D45" s="3">
        <v>18.796472296099999</v>
      </c>
      <c r="E45" s="3">
        <v>119089.51531536601</v>
      </c>
      <c r="F45" s="2">
        <v>1.5783482069201701E-4</v>
      </c>
      <c r="G45" s="2">
        <v>1.5783482069201701E-4</v>
      </c>
      <c r="H45" s="2">
        <v>1.5783482069201701E-4</v>
      </c>
      <c r="I45" s="2">
        <v>2.3424713584288001E-3</v>
      </c>
      <c r="J45" s="9">
        <v>0</v>
      </c>
      <c r="K45">
        <f t="shared" si="0"/>
        <v>0.99998058650549926</v>
      </c>
      <c r="L45">
        <f t="shared" si="1"/>
        <v>0.99980588201388365</v>
      </c>
    </row>
    <row r="46" spans="1:12" x14ac:dyDescent="0.35">
      <c r="A46" t="s">
        <v>76</v>
      </c>
      <c r="B46" t="s">
        <v>4</v>
      </c>
      <c r="C46">
        <v>2023</v>
      </c>
      <c r="D46" s="3">
        <v>1438.5353040525099</v>
      </c>
      <c r="E46" s="3">
        <v>105820.549838768</v>
      </c>
      <c r="F46" s="1">
        <v>1.35941015827673E-2</v>
      </c>
      <c r="G46" s="1">
        <v>1.35941015827673E-2</v>
      </c>
      <c r="H46" s="1">
        <v>1.1341607328667401E-2</v>
      </c>
      <c r="I46" s="1">
        <v>5.2061708796352801E-2</v>
      </c>
      <c r="J46" s="9">
        <v>0</v>
      </c>
      <c r="K46">
        <f t="shared" si="0"/>
        <v>0.99832932264306284</v>
      </c>
      <c r="L46">
        <f t="shared" si="1"/>
        <v>0.98341827081486655</v>
      </c>
    </row>
    <row r="47" spans="1:12" x14ac:dyDescent="0.35">
      <c r="A47" t="s">
        <v>42</v>
      </c>
      <c r="B47" t="s">
        <v>4</v>
      </c>
      <c r="C47">
        <v>2023</v>
      </c>
      <c r="D47" s="3">
        <v>34623.697262469599</v>
      </c>
      <c r="E47" s="3">
        <v>94871.198133112295</v>
      </c>
      <c r="F47" s="1">
        <v>0.36495478020515398</v>
      </c>
      <c r="G47" s="1">
        <v>0.36495478020515398</v>
      </c>
      <c r="H47" s="1">
        <v>9.9283233263241996E-2</v>
      </c>
      <c r="I47" s="1">
        <v>0.17976813310958201</v>
      </c>
      <c r="J47" s="9">
        <v>0</v>
      </c>
      <c r="K47">
        <f t="shared" si="0"/>
        <v>0.95610318470317712</v>
      </c>
      <c r="L47">
        <f t="shared" si="1"/>
        <v>0.63833351614127731</v>
      </c>
    </row>
    <row r="48" spans="1:12" x14ac:dyDescent="0.35">
      <c r="A48" t="s">
        <v>46</v>
      </c>
      <c r="B48" t="s">
        <v>4</v>
      </c>
      <c r="C48">
        <v>2023</v>
      </c>
      <c r="D48" s="3">
        <v>21069.098719985101</v>
      </c>
      <c r="E48" s="3">
        <v>93346.861331544002</v>
      </c>
      <c r="F48" s="1">
        <v>0.22570762872415301</v>
      </c>
      <c r="G48" s="1">
        <v>0.23009024719920501</v>
      </c>
      <c r="H48" s="1">
        <v>0.103795581593771</v>
      </c>
      <c r="I48" s="1">
        <v>0.272530009727106</v>
      </c>
      <c r="J48" s="9">
        <v>0</v>
      </c>
      <c r="K48">
        <f t="shared" si="0"/>
        <v>0.97261978549121009</v>
      </c>
      <c r="L48">
        <f t="shared" si="1"/>
        <v>0.7575843585848635</v>
      </c>
    </row>
    <row r="49" spans="1:12" x14ac:dyDescent="0.35">
      <c r="A49" t="s">
        <v>61</v>
      </c>
      <c r="B49" t="s">
        <v>4</v>
      </c>
      <c r="C49">
        <v>2023</v>
      </c>
      <c r="D49" s="3">
        <v>3254.2807077644002</v>
      </c>
      <c r="E49" s="3">
        <v>92244.925716287195</v>
      </c>
      <c r="F49" s="2">
        <v>3.5278696172117097E-2</v>
      </c>
      <c r="G49" s="2">
        <v>3.5278696172117097E-2</v>
      </c>
      <c r="H49" s="1">
        <v>2.33002974721419E-2</v>
      </c>
      <c r="I49" s="2">
        <v>6.8711834070330602E-2</v>
      </c>
      <c r="J49" s="9">
        <v>0</v>
      </c>
      <c r="K49">
        <f t="shared" si="0"/>
        <v>0.99567012144180533</v>
      </c>
      <c r="L49">
        <f t="shared" si="1"/>
        <v>0.95753519991311686</v>
      </c>
    </row>
    <row r="50" spans="1:12" x14ac:dyDescent="0.35">
      <c r="A50" t="s">
        <v>26</v>
      </c>
      <c r="B50" t="s">
        <v>4</v>
      </c>
      <c r="C50">
        <v>2023</v>
      </c>
      <c r="D50" s="3">
        <v>63466.525663057299</v>
      </c>
      <c r="E50" s="4">
        <v>83790.2718847129</v>
      </c>
      <c r="F50" s="2">
        <v>0.75744503789629702</v>
      </c>
      <c r="G50" s="2">
        <v>0.75744503789629702</v>
      </c>
      <c r="H50" s="1">
        <v>0.254187828908504</v>
      </c>
      <c r="I50" s="1">
        <v>0.41842839512797098</v>
      </c>
      <c r="J50" s="9">
        <v>0</v>
      </c>
      <c r="K50">
        <f t="shared" si="0"/>
        <v>0.91104249190845843</v>
      </c>
      <c r="L50">
        <f t="shared" si="1"/>
        <v>0.39390032000166636</v>
      </c>
    </row>
    <row r="51" spans="1:12" x14ac:dyDescent="0.35">
      <c r="A51" t="s">
        <v>39</v>
      </c>
      <c r="B51" t="s">
        <v>4</v>
      </c>
      <c r="C51">
        <v>2023</v>
      </c>
      <c r="D51" s="3">
        <v>37942.406118357198</v>
      </c>
      <c r="E51" s="3">
        <v>82361.2786846245</v>
      </c>
      <c r="F51" s="1">
        <v>0.46068257710817301</v>
      </c>
      <c r="G51" s="1">
        <v>0.46068257710817301</v>
      </c>
      <c r="H51" s="1">
        <v>0.17527302886942001</v>
      </c>
      <c r="I51" s="1">
        <v>0.34953570850440702</v>
      </c>
      <c r="J51" s="9">
        <v>0</v>
      </c>
      <c r="K51">
        <f t="shared" si="0"/>
        <v>0.94491154694627466</v>
      </c>
      <c r="L51">
        <f t="shared" si="1"/>
        <v>0.56742904411341344</v>
      </c>
    </row>
    <row r="52" spans="1:12" x14ac:dyDescent="0.35">
      <c r="A52" t="s">
        <v>88</v>
      </c>
      <c r="B52" t="s">
        <v>4</v>
      </c>
      <c r="C52">
        <v>2023</v>
      </c>
      <c r="D52" s="3">
        <v>538.08536734300003</v>
      </c>
      <c r="E52" s="3">
        <v>81316.814054268994</v>
      </c>
      <c r="F52" s="2">
        <v>6.6171476785095596E-3</v>
      </c>
      <c r="G52" s="2">
        <v>6.6171476785095596E-3</v>
      </c>
      <c r="H52" s="2">
        <v>6.4733610388624302E-3</v>
      </c>
      <c r="I52" s="1">
        <v>3.1056361938714801E-2</v>
      </c>
      <c r="J52" s="9">
        <v>0</v>
      </c>
      <c r="K52">
        <f t="shared" si="0"/>
        <v>0.99918642196976348</v>
      </c>
      <c r="L52">
        <f t="shared" si="1"/>
        <v>0.9918939410822839</v>
      </c>
    </row>
    <row r="53" spans="1:12" x14ac:dyDescent="0.35">
      <c r="A53" t="s">
        <v>43</v>
      </c>
      <c r="B53" t="s">
        <v>4</v>
      </c>
      <c r="C53">
        <v>2023</v>
      </c>
      <c r="D53" s="3">
        <v>32876.7641782422</v>
      </c>
      <c r="E53" s="3">
        <v>80776.123945856205</v>
      </c>
      <c r="F53" s="1">
        <v>0.40701091575376003</v>
      </c>
      <c r="G53" s="1">
        <v>0.43719847483531599</v>
      </c>
      <c r="H53" s="1">
        <v>0.15416332324861801</v>
      </c>
      <c r="I53" s="1">
        <v>0.37674500587544002</v>
      </c>
      <c r="J53" s="9">
        <v>0</v>
      </c>
      <c r="K53">
        <f t="shared" si="0"/>
        <v>0.95117012419780878</v>
      </c>
      <c r="L53">
        <f t="shared" si="1"/>
        <v>0.60615265034358246</v>
      </c>
    </row>
    <row r="54" spans="1:12" x14ac:dyDescent="0.35">
      <c r="A54" t="s">
        <v>75</v>
      </c>
      <c r="B54" t="s">
        <v>4</v>
      </c>
      <c r="C54">
        <v>2023</v>
      </c>
      <c r="D54" s="3">
        <v>1455.9371893447601</v>
      </c>
      <c r="E54" s="3">
        <v>77403.259794389101</v>
      </c>
      <c r="F54" s="1">
        <v>1.8809765805887901E-2</v>
      </c>
      <c r="G54" s="1">
        <v>1.8809765805887901E-2</v>
      </c>
      <c r="H54" s="1">
        <v>1.7079850966626599E-2</v>
      </c>
      <c r="I54" s="1">
        <v>7.9456386703309095E-2</v>
      </c>
      <c r="J54" s="9">
        <v>0</v>
      </c>
      <c r="K54">
        <f t="shared" si="0"/>
        <v>0.99768907311829014</v>
      </c>
      <c r="L54">
        <f t="shared" si="1"/>
        <v>0.97712957344465678</v>
      </c>
    </row>
    <row r="55" spans="1:12" x14ac:dyDescent="0.35">
      <c r="A55" t="s">
        <v>33</v>
      </c>
      <c r="B55" t="s">
        <v>4</v>
      </c>
      <c r="C55">
        <v>2023</v>
      </c>
      <c r="D55" s="3">
        <v>53089.293764044298</v>
      </c>
      <c r="E55" s="3">
        <v>76828.824937055906</v>
      </c>
      <c r="F55" s="1">
        <v>0.69100749370485803</v>
      </c>
      <c r="G55" s="1">
        <v>1.49061500242885</v>
      </c>
      <c r="H55" s="1">
        <v>0.34378571869712399</v>
      </c>
      <c r="I55" s="1">
        <v>0.66420610946730296</v>
      </c>
      <c r="J55" s="9">
        <v>0</v>
      </c>
      <c r="K55">
        <f t="shared" si="0"/>
        <v>0.91851786738803953</v>
      </c>
      <c r="L55">
        <f t="shared" si="1"/>
        <v>0.42744091219026736</v>
      </c>
    </row>
    <row r="56" spans="1:12" x14ac:dyDescent="0.35">
      <c r="A56" t="s">
        <v>87</v>
      </c>
      <c r="B56" t="s">
        <v>4</v>
      </c>
      <c r="C56">
        <v>2023</v>
      </c>
      <c r="D56" s="3">
        <v>595.82422444843598</v>
      </c>
      <c r="E56" s="3">
        <v>76811.211319798793</v>
      </c>
      <c r="F56" s="2">
        <v>7.7569955506593697E-3</v>
      </c>
      <c r="G56" s="2">
        <v>7.7569955506593697E-3</v>
      </c>
      <c r="H56" s="2">
        <v>7.3138057657031602E-3</v>
      </c>
      <c r="I56" s="1">
        <v>3.0625393305564699E-2</v>
      </c>
      <c r="J56" s="9">
        <v>0</v>
      </c>
      <c r="K56">
        <f t="shared" si="0"/>
        <v>0.99904634456592267</v>
      </c>
      <c r="L56">
        <f t="shared" si="1"/>
        <v>0.99050426739640896</v>
      </c>
    </row>
    <row r="57" spans="1:12" x14ac:dyDescent="0.35">
      <c r="A57" t="s">
        <v>93</v>
      </c>
      <c r="B57" t="s">
        <v>4</v>
      </c>
      <c r="C57">
        <v>2023</v>
      </c>
      <c r="D57" s="3">
        <v>190.836020201617</v>
      </c>
      <c r="E57" s="3">
        <v>71909.167279104498</v>
      </c>
      <c r="F57" s="2">
        <v>2.6538482841960398E-3</v>
      </c>
      <c r="G57" s="2">
        <v>2.6538482841960398E-3</v>
      </c>
      <c r="H57" s="2">
        <v>2.2616211307675601E-3</v>
      </c>
      <c r="I57" s="1">
        <v>1.3839171019953699E-2</v>
      </c>
      <c r="J57" s="9">
        <v>0</v>
      </c>
      <c r="K57">
        <f t="shared" si="0"/>
        <v>0.99967362993134556</v>
      </c>
      <c r="L57">
        <f t="shared" si="1"/>
        <v>0.99674108842812315</v>
      </c>
    </row>
    <row r="58" spans="1:12" x14ac:dyDescent="0.35">
      <c r="A58" t="s">
        <v>60</v>
      </c>
      <c r="B58" t="s">
        <v>4</v>
      </c>
      <c r="C58">
        <v>2023</v>
      </c>
      <c r="D58" s="3">
        <v>3352.1188206407001</v>
      </c>
      <c r="E58" s="4">
        <v>69846.481830698103</v>
      </c>
      <c r="F58" s="2">
        <v>4.7992665239259401E-2</v>
      </c>
      <c r="G58" s="2">
        <v>4.7992665239259401E-2</v>
      </c>
      <c r="H58" s="2">
        <v>4.13184073267132E-2</v>
      </c>
      <c r="I58" s="1">
        <v>0.15512198539327801</v>
      </c>
      <c r="J58" s="9">
        <v>0</v>
      </c>
      <c r="K58">
        <f t="shared" si="0"/>
        <v>0.99411429122428963</v>
      </c>
      <c r="L58">
        <f t="shared" si="1"/>
        <v>0.94267756620884224</v>
      </c>
    </row>
    <row r="59" spans="1:12" x14ac:dyDescent="0.35">
      <c r="A59" t="s">
        <v>105</v>
      </c>
      <c r="B59" t="s">
        <v>4</v>
      </c>
      <c r="C59">
        <v>2023</v>
      </c>
      <c r="D59" s="3">
        <v>11.958029859804901</v>
      </c>
      <c r="E59" s="3">
        <v>69376.969744625094</v>
      </c>
      <c r="F59" s="2">
        <v>1.7236310412262299E-4</v>
      </c>
      <c r="G59" s="2">
        <v>1.7236310412262299E-4</v>
      </c>
      <c r="H59" s="2">
        <v>1.7236310412262299E-4</v>
      </c>
      <c r="I59" s="2">
        <v>2.68859718488059E-3</v>
      </c>
      <c r="J59" s="9">
        <v>0</v>
      </c>
      <c r="K59">
        <f t="shared" si="0"/>
        <v>0.99997879956292535</v>
      </c>
      <c r="L59">
        <f t="shared" si="1"/>
        <v>0.99978801585374411</v>
      </c>
    </row>
    <row r="60" spans="1:12" x14ac:dyDescent="0.35">
      <c r="A60" t="s">
        <v>85</v>
      </c>
      <c r="B60" t="s">
        <v>4</v>
      </c>
      <c r="C60">
        <v>2023</v>
      </c>
      <c r="D60" s="3">
        <v>650.89476725068596</v>
      </c>
      <c r="E60" s="3">
        <v>68597.964503727198</v>
      </c>
      <c r="F60" s="2">
        <v>9.4885434569318694E-3</v>
      </c>
      <c r="G60" s="2">
        <v>9.4885434569318694E-3</v>
      </c>
      <c r="H60" s="2">
        <v>9.4607785584692097E-3</v>
      </c>
      <c r="I60" s="1">
        <v>8.9479947039402E-2</v>
      </c>
      <c r="J60" s="9">
        <v>0</v>
      </c>
      <c r="K60">
        <f t="shared" si="0"/>
        <v>0.99883358994044591</v>
      </c>
      <c r="L60">
        <f t="shared" si="1"/>
        <v>0.98839693242199445</v>
      </c>
    </row>
    <row r="61" spans="1:12" x14ac:dyDescent="0.35">
      <c r="A61" t="s">
        <v>62</v>
      </c>
      <c r="B61" t="s">
        <v>4</v>
      </c>
      <c r="C61">
        <v>2023</v>
      </c>
      <c r="D61" s="4">
        <v>3106.2704339457</v>
      </c>
      <c r="E61" s="3">
        <v>67336.622678902801</v>
      </c>
      <c r="F61" s="1">
        <v>4.6130475666385298E-2</v>
      </c>
      <c r="G61" s="1">
        <v>4.6130475666385298E-2</v>
      </c>
      <c r="H61" s="1">
        <v>4.5417475922463701E-2</v>
      </c>
      <c r="I61" s="1">
        <v>0.25493662441627701</v>
      </c>
      <c r="J61" s="9">
        <v>0</v>
      </c>
      <c r="K61">
        <f t="shared" si="0"/>
        <v>0.99434201850356863</v>
      </c>
      <c r="L61">
        <f t="shared" si="1"/>
        <v>0.94483923744165232</v>
      </c>
    </row>
    <row r="62" spans="1:12" x14ac:dyDescent="0.35">
      <c r="A62" t="s">
        <v>35</v>
      </c>
      <c r="B62" t="s">
        <v>4</v>
      </c>
      <c r="C62">
        <v>2023</v>
      </c>
      <c r="D62" s="3">
        <v>44992.111367227</v>
      </c>
      <c r="E62" s="3">
        <v>66758.308567077402</v>
      </c>
      <c r="F62" s="1">
        <v>0.673955232434025</v>
      </c>
      <c r="G62" s="1">
        <v>0.98455086795063795</v>
      </c>
      <c r="H62" s="1">
        <v>0.159148223936804</v>
      </c>
      <c r="I62" s="2">
        <v>0.29633650324952598</v>
      </c>
      <c r="J62" s="9">
        <v>0</v>
      </c>
      <c r="K62">
        <f t="shared" si="0"/>
        <v>0.92044641439417541</v>
      </c>
      <c r="L62">
        <f t="shared" si="1"/>
        <v>0.4365008589493119</v>
      </c>
    </row>
    <row r="63" spans="1:12" x14ac:dyDescent="0.35">
      <c r="A63" t="s">
        <v>17</v>
      </c>
      <c r="B63" t="s">
        <v>4</v>
      </c>
      <c r="C63">
        <v>2023</v>
      </c>
      <c r="D63" s="3">
        <v>102339.805653756</v>
      </c>
      <c r="E63" s="3">
        <v>64127.084125810099</v>
      </c>
      <c r="F63" s="2">
        <v>1.5958905203451601</v>
      </c>
      <c r="G63" s="2">
        <v>1.5958905203451601</v>
      </c>
      <c r="H63" s="1">
        <v>0.29316039839719199</v>
      </c>
      <c r="I63" s="1">
        <v>0.40148976504605199</v>
      </c>
      <c r="J63" s="9">
        <v>0</v>
      </c>
      <c r="K63">
        <f t="shared" si="0"/>
        <v>0.82177015977603496</v>
      </c>
      <c r="L63">
        <f t="shared" si="1"/>
        <v>0.14044415535207272</v>
      </c>
    </row>
    <row r="64" spans="1:12" x14ac:dyDescent="0.35">
      <c r="A64" t="s">
        <v>41</v>
      </c>
      <c r="B64" t="s">
        <v>4</v>
      </c>
      <c r="C64">
        <v>2023</v>
      </c>
      <c r="D64" s="3">
        <v>36827.706272293799</v>
      </c>
      <c r="E64" s="3">
        <v>57980.524055345202</v>
      </c>
      <c r="F64" s="1">
        <v>0.63517373932564003</v>
      </c>
      <c r="G64" s="1">
        <v>0.63517373932564003</v>
      </c>
      <c r="H64" s="1">
        <v>0.32704112966922599</v>
      </c>
      <c r="I64" s="1">
        <v>0.48556584405245701</v>
      </c>
      <c r="J64" s="9">
        <v>0</v>
      </c>
      <c r="K64">
        <f t="shared" si="0"/>
        <v>0.92484754623241439</v>
      </c>
      <c r="L64">
        <f t="shared" si="1"/>
        <v>0.45782708978570824</v>
      </c>
    </row>
    <row r="65" spans="1:12" x14ac:dyDescent="0.35">
      <c r="A65" t="s">
        <v>95</v>
      </c>
      <c r="B65" t="s">
        <v>4</v>
      </c>
      <c r="C65">
        <v>2023</v>
      </c>
      <c r="D65" s="3">
        <v>156.84964560491201</v>
      </c>
      <c r="E65" s="3">
        <v>56824.843504657299</v>
      </c>
      <c r="F65" s="2">
        <v>2.76023013758158E-3</v>
      </c>
      <c r="G65" s="2">
        <v>2.76023013758158E-3</v>
      </c>
      <c r="H65" s="2">
        <v>2.76023013758158E-3</v>
      </c>
      <c r="I65" s="1">
        <v>3.0264346596488401E-2</v>
      </c>
      <c r="J65" s="9">
        <v>0</v>
      </c>
      <c r="K65">
        <f t="shared" si="0"/>
        <v>0.99966054931950099</v>
      </c>
      <c r="L65">
        <f t="shared" si="1"/>
        <v>0.99661067370854239</v>
      </c>
    </row>
    <row r="66" spans="1:12" x14ac:dyDescent="0.35">
      <c r="A66" t="s">
        <v>103</v>
      </c>
      <c r="B66" t="s">
        <v>4</v>
      </c>
      <c r="C66">
        <v>2023</v>
      </c>
      <c r="D66" s="3">
        <v>27.423915302005099</v>
      </c>
      <c r="E66" s="3">
        <v>54916.863604696897</v>
      </c>
      <c r="F66" s="2">
        <v>4.99371477209772E-4</v>
      </c>
      <c r="G66" s="2">
        <v>4.99371477209772E-4</v>
      </c>
      <c r="H66" s="2">
        <v>4.99371477209772E-4</v>
      </c>
      <c r="I66" s="2">
        <v>1.1048863990040399E-2</v>
      </c>
      <c r="J66" s="9">
        <v>0</v>
      </c>
      <c r="K66">
        <f t="shared" si="0"/>
        <v>0.99993857919463813</v>
      </c>
      <c r="L66">
        <f t="shared" si="1"/>
        <v>0.99938596168176863</v>
      </c>
    </row>
    <row r="67" spans="1:12" x14ac:dyDescent="0.35">
      <c r="A67" t="s">
        <v>44</v>
      </c>
      <c r="B67" t="s">
        <v>4</v>
      </c>
      <c r="C67">
        <v>2023</v>
      </c>
      <c r="D67" s="3">
        <v>30126.619116998201</v>
      </c>
      <c r="E67" s="3">
        <v>54504.291826547298</v>
      </c>
      <c r="F67" s="1">
        <v>0.55273847448329705</v>
      </c>
      <c r="G67" s="1">
        <v>1.1777862604137701</v>
      </c>
      <c r="H67" s="1">
        <v>0.264530795857639</v>
      </c>
      <c r="I67" s="1">
        <v>0.62065892590359795</v>
      </c>
      <c r="J67" s="9">
        <v>0</v>
      </c>
      <c r="K67">
        <f t="shared" ref="K67:K114" si="2">EXP(-0.123*F67)</f>
        <v>0.93427277566243982</v>
      </c>
      <c r="L67">
        <f t="shared" ref="L67:L114" si="3">EXP(-0.123*F67*10)</f>
        <v>0.50668370625222514</v>
      </c>
    </row>
    <row r="68" spans="1:12" x14ac:dyDescent="0.35">
      <c r="A68" t="s">
        <v>55</v>
      </c>
      <c r="B68" t="s">
        <v>4</v>
      </c>
      <c r="C68">
        <v>2023</v>
      </c>
      <c r="D68" s="3">
        <v>7898.1206014044001</v>
      </c>
      <c r="E68" s="3">
        <v>51987.276444839401</v>
      </c>
      <c r="F68" s="1">
        <v>0.15192410800332301</v>
      </c>
      <c r="G68" s="1">
        <v>0.15192410800332301</v>
      </c>
      <c r="H68" s="1">
        <v>4.68364962566718E-2</v>
      </c>
      <c r="I68" s="1">
        <v>0.106291288802595</v>
      </c>
      <c r="J68" s="9">
        <v>0</v>
      </c>
      <c r="K68">
        <f t="shared" si="2"/>
        <v>0.98148684796967911</v>
      </c>
      <c r="L68">
        <f t="shared" si="3"/>
        <v>0.82955434772333025</v>
      </c>
    </row>
    <row r="69" spans="1:12" x14ac:dyDescent="0.35">
      <c r="A69" t="s">
        <v>22</v>
      </c>
      <c r="B69" t="s">
        <v>4</v>
      </c>
      <c r="C69">
        <v>2023</v>
      </c>
      <c r="D69" s="3">
        <v>77266.950871388006</v>
      </c>
      <c r="E69" s="3">
        <v>49459.582992420001</v>
      </c>
      <c r="F69" s="1">
        <v>1.5622240665318501</v>
      </c>
      <c r="G69" s="1">
        <v>1.5622240665318501</v>
      </c>
      <c r="H69" s="1">
        <v>0.30801521038110302</v>
      </c>
      <c r="I69" s="1">
        <v>0.45087920956736499</v>
      </c>
      <c r="J69" s="9">
        <v>0</v>
      </c>
      <c r="K69">
        <f t="shared" si="2"/>
        <v>0.82518014394775219</v>
      </c>
      <c r="L69">
        <f t="shared" si="3"/>
        <v>0.14638200497691403</v>
      </c>
    </row>
    <row r="70" spans="1:12" x14ac:dyDescent="0.35">
      <c r="A70" t="s">
        <v>32</v>
      </c>
      <c r="B70" t="s">
        <v>4</v>
      </c>
      <c r="C70">
        <v>2023</v>
      </c>
      <c r="D70" s="3">
        <v>53562.205469174201</v>
      </c>
      <c r="E70" s="3">
        <v>48316.419622861496</v>
      </c>
      <c r="F70" s="1">
        <v>1.10857149365079</v>
      </c>
      <c r="G70" s="1">
        <v>1.1086239336680399</v>
      </c>
      <c r="H70" s="1">
        <v>0.42280222557085401</v>
      </c>
      <c r="I70" s="1">
        <v>0.754684901127333</v>
      </c>
      <c r="J70" s="9">
        <v>0</v>
      </c>
      <c r="K70">
        <f t="shared" si="2"/>
        <v>0.87253344460120941</v>
      </c>
      <c r="L70">
        <f t="shared" si="3"/>
        <v>0.25575305289572309</v>
      </c>
    </row>
    <row r="71" spans="1:12" x14ac:dyDescent="0.35">
      <c r="A71" t="s">
        <v>77</v>
      </c>
      <c r="B71" t="s">
        <v>4</v>
      </c>
      <c r="C71">
        <v>2023</v>
      </c>
      <c r="D71" s="3">
        <v>1394.7443251244599</v>
      </c>
      <c r="E71" s="3">
        <v>48142.330975225697</v>
      </c>
      <c r="F71" s="1">
        <v>2.89712670091152E-2</v>
      </c>
      <c r="G71" s="1">
        <v>2.89712670091152E-2</v>
      </c>
      <c r="H71" s="1">
        <v>2.75419676446256E-2</v>
      </c>
      <c r="I71" s="1">
        <v>0.23634302984510699</v>
      </c>
      <c r="J71" s="9">
        <v>0</v>
      </c>
      <c r="K71">
        <f t="shared" si="2"/>
        <v>0.99644287576734358</v>
      </c>
      <c r="L71">
        <f t="shared" si="3"/>
        <v>0.96499278107617315</v>
      </c>
    </row>
    <row r="72" spans="1:12" x14ac:dyDescent="0.35">
      <c r="A72" t="s">
        <v>27</v>
      </c>
      <c r="B72" t="s">
        <v>4</v>
      </c>
      <c r="C72">
        <v>2023</v>
      </c>
      <c r="D72" s="4">
        <v>63034.114020742498</v>
      </c>
      <c r="E72" s="3">
        <v>44124.448673786297</v>
      </c>
      <c r="F72" s="1">
        <v>1.4285530112060001</v>
      </c>
      <c r="G72" s="1">
        <v>1.4285530112060001</v>
      </c>
      <c r="H72" s="1">
        <v>0.27027268382104203</v>
      </c>
      <c r="I72" s="1">
        <v>0.47195138063152298</v>
      </c>
      <c r="J72" s="9">
        <v>0</v>
      </c>
      <c r="K72">
        <f t="shared" si="2"/>
        <v>0.83885952300421607</v>
      </c>
      <c r="L72">
        <f t="shared" si="3"/>
        <v>0.17254103205977961</v>
      </c>
    </row>
    <row r="73" spans="1:12" x14ac:dyDescent="0.35">
      <c r="A73" t="s">
        <v>110</v>
      </c>
      <c r="B73" t="s">
        <v>4</v>
      </c>
      <c r="C73">
        <v>2023</v>
      </c>
      <c r="D73" s="3">
        <v>3.7576511973029998</v>
      </c>
      <c r="E73" s="3">
        <v>43432.305584462898</v>
      </c>
      <c r="F73" s="1">
        <v>8.6517423994346602E-5</v>
      </c>
      <c r="G73" s="1">
        <v>8.6517423994346602E-5</v>
      </c>
      <c r="H73" s="1">
        <v>8.6517423994346602E-5</v>
      </c>
      <c r="I73" s="2">
        <v>1.8987518498869099E-3</v>
      </c>
      <c r="J73" s="9">
        <v>0</v>
      </c>
      <c r="K73">
        <f t="shared" si="2"/>
        <v>0.99998935841347081</v>
      </c>
      <c r="L73">
        <f t="shared" si="3"/>
        <v>0.99989358923051452</v>
      </c>
    </row>
    <row r="74" spans="1:12" x14ac:dyDescent="0.35">
      <c r="A74" t="s">
        <v>68</v>
      </c>
      <c r="B74" t="s">
        <v>4</v>
      </c>
      <c r="C74">
        <v>2023</v>
      </c>
      <c r="D74" s="3">
        <v>1991.4827962065699</v>
      </c>
      <c r="E74" s="4">
        <v>42933.381325895702</v>
      </c>
      <c r="F74" s="1">
        <v>4.6385417004306401E-2</v>
      </c>
      <c r="G74" s="1">
        <v>4.6385417004306401E-2</v>
      </c>
      <c r="H74" s="1">
        <v>3.6502846453921198E-2</v>
      </c>
      <c r="I74" s="1">
        <v>9.8771738889012195E-2</v>
      </c>
      <c r="J74" s="9">
        <v>0</v>
      </c>
      <c r="K74">
        <f t="shared" si="2"/>
        <v>0.99431083862963765</v>
      </c>
      <c r="L74">
        <f t="shared" si="3"/>
        <v>0.94454300323776563</v>
      </c>
    </row>
    <row r="75" spans="1:12" x14ac:dyDescent="0.35">
      <c r="A75" t="s">
        <v>54</v>
      </c>
      <c r="B75" t="s">
        <v>4</v>
      </c>
      <c r="C75">
        <v>2023</v>
      </c>
      <c r="D75" s="3">
        <v>8682.6507052901907</v>
      </c>
      <c r="E75" s="3">
        <v>41500.789544582898</v>
      </c>
      <c r="F75" s="1">
        <v>0.209216518542682</v>
      </c>
      <c r="G75" s="1">
        <v>0.209216518542682</v>
      </c>
      <c r="H75" s="1">
        <v>6.6711979216369094E-2</v>
      </c>
      <c r="I75" s="1">
        <v>0.180067813029789</v>
      </c>
      <c r="J75" s="9">
        <v>0</v>
      </c>
      <c r="K75">
        <f t="shared" si="2"/>
        <v>0.97459465608011597</v>
      </c>
      <c r="L75">
        <f t="shared" si="3"/>
        <v>0.77310815999621418</v>
      </c>
    </row>
    <row r="76" spans="1:12" x14ac:dyDescent="0.35">
      <c r="A76" t="s">
        <v>109</v>
      </c>
      <c r="B76" t="s">
        <v>4</v>
      </c>
      <c r="C76">
        <v>2023</v>
      </c>
      <c r="D76" s="3">
        <v>7.4507000717380203</v>
      </c>
      <c r="E76" s="3">
        <v>40434.371487728902</v>
      </c>
      <c r="F76" s="2">
        <v>1.84266498961141E-4</v>
      </c>
      <c r="G76" s="2">
        <v>1.84266498961141E-4</v>
      </c>
      <c r="H76" s="2">
        <v>1.84266498961141E-4</v>
      </c>
      <c r="I76" s="2">
        <v>3.7988422575976799E-3</v>
      </c>
      <c r="J76" s="9">
        <v>0</v>
      </c>
      <c r="K76">
        <f t="shared" si="2"/>
        <v>0.99997733547747192</v>
      </c>
      <c r="L76">
        <f t="shared" si="3"/>
        <v>0.9997733778889486</v>
      </c>
    </row>
    <row r="77" spans="1:12" x14ac:dyDescent="0.35">
      <c r="A77" t="s">
        <v>96</v>
      </c>
      <c r="B77" t="s">
        <v>4</v>
      </c>
      <c r="C77">
        <v>2023</v>
      </c>
      <c r="D77" s="3">
        <v>153.34668758486501</v>
      </c>
      <c r="E77" s="3">
        <v>37754.314589475398</v>
      </c>
      <c r="F77" s="2">
        <v>4.0616996826003202E-3</v>
      </c>
      <c r="G77" s="2">
        <v>4.0616996826003202E-3</v>
      </c>
      <c r="H77" s="2">
        <v>3.55277988945702E-3</v>
      </c>
      <c r="I77" s="1">
        <v>1.5220207253886E-2</v>
      </c>
      <c r="J77" s="9">
        <v>0</v>
      </c>
      <c r="K77">
        <f t="shared" si="2"/>
        <v>0.99950053571287567</v>
      </c>
      <c r="L77">
        <f t="shared" si="3"/>
        <v>0.99501656809581518</v>
      </c>
    </row>
    <row r="78" spans="1:12" x14ac:dyDescent="0.35">
      <c r="A78" t="s">
        <v>79</v>
      </c>
      <c r="B78" t="s">
        <v>4</v>
      </c>
      <c r="C78">
        <v>2023</v>
      </c>
      <c r="D78" s="3">
        <v>1076.8153683342</v>
      </c>
      <c r="E78" s="3">
        <v>34998.678654235002</v>
      </c>
      <c r="F78" s="1">
        <v>3.07673149312996E-2</v>
      </c>
      <c r="G78" s="1">
        <v>3.07673149312996E-2</v>
      </c>
      <c r="H78" s="1">
        <v>3.0610320219495599E-2</v>
      </c>
      <c r="I78" s="1">
        <v>0.181872946330777</v>
      </c>
      <c r="J78" s="9">
        <v>0</v>
      </c>
      <c r="K78">
        <f t="shared" si="2"/>
        <v>0.99622277200396703</v>
      </c>
      <c r="L78">
        <f t="shared" si="3"/>
        <v>0.96286333093419008</v>
      </c>
    </row>
    <row r="79" spans="1:12" x14ac:dyDescent="0.35">
      <c r="A79" t="s">
        <v>23</v>
      </c>
      <c r="B79" t="s">
        <v>4</v>
      </c>
      <c r="C79">
        <v>2023</v>
      </c>
      <c r="D79" s="3">
        <v>72838.251870833701</v>
      </c>
      <c r="E79" s="3">
        <v>32825.511206673596</v>
      </c>
      <c r="F79" s="1">
        <v>2.2189525522461699</v>
      </c>
      <c r="G79" s="1">
        <v>2.2189525522461699</v>
      </c>
      <c r="H79" s="1">
        <v>0.47555308208519298</v>
      </c>
      <c r="I79" s="1">
        <v>0.61392128279883296</v>
      </c>
      <c r="J79" s="9">
        <v>0</v>
      </c>
      <c r="K79">
        <f t="shared" si="2"/>
        <v>0.76114518007139642</v>
      </c>
      <c r="L79">
        <f t="shared" si="3"/>
        <v>6.5264199521760463E-2</v>
      </c>
    </row>
    <row r="80" spans="1:12" x14ac:dyDescent="0.35">
      <c r="A80" t="s">
        <v>114</v>
      </c>
      <c r="B80" t="s">
        <v>4</v>
      </c>
      <c r="C80">
        <v>2023</v>
      </c>
      <c r="D80" s="3">
        <v>0.57224776630176699</v>
      </c>
      <c r="E80" s="3">
        <v>32539.824985327701</v>
      </c>
      <c r="F80" s="1">
        <v>1.7586073882074999E-5</v>
      </c>
      <c r="G80" s="1">
        <v>1.7586073882074999E-5</v>
      </c>
      <c r="H80" s="1">
        <v>1.7586073882074999E-5</v>
      </c>
      <c r="I80" s="2">
        <v>3.3614700829162598E-4</v>
      </c>
      <c r="J80" s="9">
        <v>0</v>
      </c>
      <c r="K80">
        <f t="shared" si="2"/>
        <v>0.99999783691525201</v>
      </c>
      <c r="L80">
        <f t="shared" si="3"/>
        <v>0.99997836936307061</v>
      </c>
    </row>
    <row r="81" spans="1:12" x14ac:dyDescent="0.35">
      <c r="A81" t="s">
        <v>84</v>
      </c>
      <c r="B81" t="s">
        <v>4</v>
      </c>
      <c r="C81">
        <v>2023</v>
      </c>
      <c r="D81" s="3">
        <v>755.50585844793102</v>
      </c>
      <c r="E81" s="4">
        <v>31123.2612658693</v>
      </c>
      <c r="F81" s="1">
        <v>2.4274636645371099E-2</v>
      </c>
      <c r="G81" s="1">
        <v>2.4274636645371099E-2</v>
      </c>
      <c r="H81" s="1">
        <v>1.4382883421660501E-2</v>
      </c>
      <c r="I81" s="1">
        <v>0.13543262209240101</v>
      </c>
      <c r="J81" s="9">
        <v>0</v>
      </c>
      <c r="K81">
        <f t="shared" si="2"/>
        <v>0.99701867270163658</v>
      </c>
      <c r="L81">
        <f t="shared" si="3"/>
        <v>0.97058353773206985</v>
      </c>
    </row>
    <row r="82" spans="1:12" x14ac:dyDescent="0.35">
      <c r="A82" t="s">
        <v>108</v>
      </c>
      <c r="B82" t="s">
        <v>4</v>
      </c>
      <c r="C82">
        <v>2023</v>
      </c>
      <c r="D82" s="3">
        <v>9.9121883844338203</v>
      </c>
      <c r="E82" s="3">
        <v>30973.245365539598</v>
      </c>
      <c r="F82" s="2">
        <v>3.2002421016759001E-4</v>
      </c>
      <c r="G82" s="2">
        <v>3.2002421016759001E-4</v>
      </c>
      <c r="H82" s="2">
        <v>3.2002421016759001E-4</v>
      </c>
      <c r="I82" s="2">
        <v>6.8798373856617896E-3</v>
      </c>
      <c r="J82" s="9">
        <v>0</v>
      </c>
      <c r="K82">
        <f t="shared" si="2"/>
        <v>0.99996063779686128</v>
      </c>
      <c r="L82">
        <f t="shared" si="3"/>
        <v>0.99960644768353102</v>
      </c>
    </row>
    <row r="83" spans="1:12" x14ac:dyDescent="0.35">
      <c r="A83" t="s">
        <v>69</v>
      </c>
      <c r="B83" t="s">
        <v>4</v>
      </c>
      <c r="C83">
        <v>2023</v>
      </c>
      <c r="D83" s="3">
        <v>1944.7312769851401</v>
      </c>
      <c r="E83" s="3">
        <v>29921.651306819302</v>
      </c>
      <c r="F83" s="1">
        <v>6.4994116034696597E-2</v>
      </c>
      <c r="G83" s="1">
        <v>6.4994116034696597E-2</v>
      </c>
      <c r="H83" s="1">
        <v>6.4646635786564294E-2</v>
      </c>
      <c r="I83" s="2">
        <v>0.32036221243269702</v>
      </c>
      <c r="J83" s="9">
        <v>0</v>
      </c>
      <c r="K83">
        <f t="shared" si="2"/>
        <v>0.99203759297389293</v>
      </c>
      <c r="L83">
        <f t="shared" si="3"/>
        <v>0.92316918456509778</v>
      </c>
    </row>
    <row r="84" spans="1:12" x14ac:dyDescent="0.35">
      <c r="A84" t="s">
        <v>56</v>
      </c>
      <c r="B84" t="s">
        <v>4</v>
      </c>
      <c r="C84">
        <v>2023</v>
      </c>
      <c r="D84" s="3">
        <v>7132.7484198023403</v>
      </c>
      <c r="E84" s="3">
        <v>28798.906360282301</v>
      </c>
      <c r="F84" s="1">
        <v>0.24767428077197301</v>
      </c>
      <c r="G84" s="1">
        <v>0.31847606932720701</v>
      </c>
      <c r="H84" s="1">
        <v>0.20383712971349199</v>
      </c>
      <c r="I84" s="1">
        <v>0.54693606666174999</v>
      </c>
      <c r="J84" s="9">
        <v>0</v>
      </c>
      <c r="K84">
        <f t="shared" si="2"/>
        <v>0.96999541283210966</v>
      </c>
      <c r="L84">
        <f t="shared" si="3"/>
        <v>0.73738925456202664</v>
      </c>
    </row>
    <row r="85" spans="1:12" x14ac:dyDescent="0.35">
      <c r="A85" t="s">
        <v>48</v>
      </c>
      <c r="B85" t="s">
        <v>4</v>
      </c>
      <c r="C85">
        <v>2023</v>
      </c>
      <c r="D85" s="3">
        <v>13296.359559083799</v>
      </c>
      <c r="E85" s="3">
        <v>28788.378252653099</v>
      </c>
      <c r="F85" s="1">
        <v>0.46186552929074498</v>
      </c>
      <c r="G85" s="1">
        <v>0.46186552929074498</v>
      </c>
      <c r="H85" s="1">
        <v>0.28077417457776999</v>
      </c>
      <c r="I85" s="1">
        <v>0.50972198533174096</v>
      </c>
      <c r="J85" s="9">
        <v>0</v>
      </c>
      <c r="K85">
        <f t="shared" si="2"/>
        <v>0.94477406937147901</v>
      </c>
      <c r="L85">
        <f t="shared" si="3"/>
        <v>0.56660401752446521</v>
      </c>
    </row>
    <row r="86" spans="1:12" x14ac:dyDescent="0.35">
      <c r="A86" t="s">
        <v>89</v>
      </c>
      <c r="B86" t="s">
        <v>4</v>
      </c>
      <c r="C86">
        <v>2023</v>
      </c>
      <c r="D86" s="3">
        <v>303.90503345347599</v>
      </c>
      <c r="E86" s="3">
        <v>27763.213863086599</v>
      </c>
      <c r="F86" s="1">
        <v>1.09463203702631E-2</v>
      </c>
      <c r="G86" s="1">
        <v>1.09463203702631E-2</v>
      </c>
      <c r="H86" s="2">
        <v>7.2098583939259097E-3</v>
      </c>
      <c r="I86" s="1">
        <v>3.9734219269102901E-2</v>
      </c>
      <c r="J86" s="9">
        <v>0</v>
      </c>
      <c r="K86">
        <f t="shared" si="2"/>
        <v>0.99865450858079297</v>
      </c>
      <c r="L86">
        <f t="shared" si="3"/>
        <v>0.98662625982043861</v>
      </c>
    </row>
    <row r="87" spans="1:12" x14ac:dyDescent="0.35">
      <c r="A87" t="s">
        <v>65</v>
      </c>
      <c r="B87" t="s">
        <v>4</v>
      </c>
      <c r="C87">
        <v>2023</v>
      </c>
      <c r="D87" s="3">
        <v>2519.9580130540298</v>
      </c>
      <c r="E87" s="3">
        <v>27563.616937553699</v>
      </c>
      <c r="F87" s="2">
        <v>9.1423343270336604E-2</v>
      </c>
      <c r="G87" s="2">
        <v>9.1423343270336604E-2</v>
      </c>
      <c r="H87" s="1">
        <v>8.6842469407265199E-2</v>
      </c>
      <c r="I87" s="1">
        <v>0.35976305503629402</v>
      </c>
      <c r="J87" s="9">
        <v>0</v>
      </c>
      <c r="K87">
        <f t="shared" si="2"/>
        <v>0.98881791826297538</v>
      </c>
      <c r="L87">
        <f t="shared" si="3"/>
        <v>0.8936413916211412</v>
      </c>
    </row>
    <row r="88" spans="1:12" x14ac:dyDescent="0.35">
      <c r="A88" t="s">
        <v>83</v>
      </c>
      <c r="B88" t="s">
        <v>4</v>
      </c>
      <c r="C88">
        <v>2023</v>
      </c>
      <c r="D88" s="3">
        <v>820.59172175585195</v>
      </c>
      <c r="E88" s="3">
        <v>26262.664186383499</v>
      </c>
      <c r="F88" s="1">
        <v>3.1245562747640201E-2</v>
      </c>
      <c r="G88" s="1">
        <v>3.1245562747640201E-2</v>
      </c>
      <c r="H88" s="1">
        <v>2.73222032359655E-2</v>
      </c>
      <c r="I88" s="2">
        <v>0.14010407923451401</v>
      </c>
      <c r="J88" s="9">
        <v>0</v>
      </c>
      <c r="K88">
        <f t="shared" si="2"/>
        <v>0.99616417143962599</v>
      </c>
      <c r="L88">
        <f t="shared" si="3"/>
        <v>0.96229709813116493</v>
      </c>
    </row>
    <row r="89" spans="1:12" x14ac:dyDescent="0.35">
      <c r="A89" t="s">
        <v>64</v>
      </c>
      <c r="B89" t="s">
        <v>4</v>
      </c>
      <c r="C89">
        <v>2023</v>
      </c>
      <c r="D89" s="3">
        <v>2625.8830984977899</v>
      </c>
      <c r="E89" s="3">
        <v>25508.349881644899</v>
      </c>
      <c r="F89" s="1">
        <v>0.102942099770526</v>
      </c>
      <c r="G89" s="1">
        <v>0.102942099770526</v>
      </c>
      <c r="H89" s="1">
        <v>8.6880807790640793E-2</v>
      </c>
      <c r="I89" s="1">
        <v>0.29317558793824799</v>
      </c>
      <c r="J89" s="9">
        <v>0</v>
      </c>
      <c r="K89">
        <f t="shared" si="2"/>
        <v>0.98741794604512445</v>
      </c>
      <c r="L89">
        <f t="shared" si="3"/>
        <v>0.88106948749936842</v>
      </c>
    </row>
    <row r="90" spans="1:12" x14ac:dyDescent="0.35">
      <c r="A90" t="s">
        <v>115</v>
      </c>
      <c r="B90" t="s">
        <v>4</v>
      </c>
      <c r="C90">
        <v>2023</v>
      </c>
      <c r="D90" s="3">
        <v>0.42657812580503002</v>
      </c>
      <c r="E90" s="3">
        <v>22358.514722542401</v>
      </c>
      <c r="F90" s="1">
        <v>1.90790010471913E-5</v>
      </c>
      <c r="G90" s="1">
        <v>1.90790010471913E-5</v>
      </c>
      <c r="H90" s="1">
        <v>1.90790010471913E-5</v>
      </c>
      <c r="I90" s="2">
        <v>2.6845637583892599E-4</v>
      </c>
      <c r="J90" s="9">
        <v>0</v>
      </c>
      <c r="K90">
        <f t="shared" si="2"/>
        <v>0.99999765328562473</v>
      </c>
      <c r="L90">
        <f t="shared" si="3"/>
        <v>0.99997653310406387</v>
      </c>
    </row>
    <row r="91" spans="1:12" x14ac:dyDescent="0.35">
      <c r="A91" t="s">
        <v>74</v>
      </c>
      <c r="B91" t="s">
        <v>4</v>
      </c>
      <c r="C91">
        <v>2023</v>
      </c>
      <c r="D91" s="3">
        <v>1561.62776764672</v>
      </c>
      <c r="E91" s="3">
        <v>19219.018911789299</v>
      </c>
      <c r="F91" s="1">
        <v>8.1254291637581605E-2</v>
      </c>
      <c r="G91" s="1">
        <v>8.1254291637581605E-2</v>
      </c>
      <c r="H91" s="1">
        <v>3.0524877440308101E-2</v>
      </c>
      <c r="I91" s="1">
        <v>6.7207537293902095E-2</v>
      </c>
      <c r="J91" s="9">
        <v>0</v>
      </c>
      <c r="K91">
        <f t="shared" si="2"/>
        <v>0.99005549895782341</v>
      </c>
      <c r="L91">
        <f t="shared" si="3"/>
        <v>0.90488919547780833</v>
      </c>
    </row>
    <row r="92" spans="1:12" x14ac:dyDescent="0.35">
      <c r="A92" t="s">
        <v>112</v>
      </c>
      <c r="B92" t="s">
        <v>4</v>
      </c>
      <c r="C92">
        <v>2023</v>
      </c>
      <c r="D92" s="3">
        <v>2.41820279663985</v>
      </c>
      <c r="E92" s="3">
        <v>18217.176499844001</v>
      </c>
      <c r="F92" s="2">
        <v>1.3274300749408399E-4</v>
      </c>
      <c r="G92" s="2">
        <v>1.3274300749408399E-4</v>
      </c>
      <c r="H92" s="2">
        <v>1.3274300749408399E-4</v>
      </c>
      <c r="I92" s="2">
        <v>2.7021549685874399E-3</v>
      </c>
      <c r="J92" s="9">
        <v>0</v>
      </c>
      <c r="K92">
        <f t="shared" si="2"/>
        <v>0.9999836727433693</v>
      </c>
      <c r="L92">
        <f t="shared" si="3"/>
        <v>0.99983673942924001</v>
      </c>
    </row>
    <row r="93" spans="1:12" x14ac:dyDescent="0.35">
      <c r="A93" t="s">
        <v>94</v>
      </c>
      <c r="B93" t="s">
        <v>4</v>
      </c>
      <c r="C93">
        <v>2023</v>
      </c>
      <c r="D93" s="3">
        <v>168.23767599595001</v>
      </c>
      <c r="E93" s="3">
        <v>18139.541509118601</v>
      </c>
      <c r="F93" s="2">
        <v>9.2746377250703099E-3</v>
      </c>
      <c r="G93" s="2">
        <v>9.2746377250703099E-3</v>
      </c>
      <c r="H93" s="2">
        <v>8.4574629931465604E-3</v>
      </c>
      <c r="I93" s="1">
        <v>4.1573218095290097E-2</v>
      </c>
      <c r="J93" s="9">
        <v>0</v>
      </c>
      <c r="K93">
        <f t="shared" si="2"/>
        <v>0.99885987000246179</v>
      </c>
      <c r="L93">
        <f t="shared" si="3"/>
        <v>0.98865701787137705</v>
      </c>
    </row>
    <row r="94" spans="1:12" x14ac:dyDescent="0.35">
      <c r="A94" t="s">
        <v>91</v>
      </c>
      <c r="B94" t="s">
        <v>4</v>
      </c>
      <c r="C94">
        <v>2023</v>
      </c>
      <c r="D94" s="3">
        <v>240.64677426999</v>
      </c>
      <c r="E94" s="3">
        <v>15835.073466669701</v>
      </c>
      <c r="F94" s="1">
        <v>1.5197073431740701E-2</v>
      </c>
      <c r="G94" s="1">
        <v>1.5197073431740701E-2</v>
      </c>
      <c r="H94" s="1">
        <v>1.5197073431740701E-2</v>
      </c>
      <c r="I94" s="1">
        <v>0.13754070398511301</v>
      </c>
      <c r="J94" s="9">
        <v>0</v>
      </c>
      <c r="K94">
        <f t="shared" si="2"/>
        <v>0.99813250590901426</v>
      </c>
      <c r="L94">
        <f t="shared" si="3"/>
        <v>0.98148121912279263</v>
      </c>
    </row>
    <row r="95" spans="1:12" x14ac:dyDescent="0.35">
      <c r="A95" t="s">
        <v>51</v>
      </c>
      <c r="B95" t="s">
        <v>4</v>
      </c>
      <c r="C95">
        <v>2023</v>
      </c>
      <c r="D95" s="3">
        <v>9471.1130273488398</v>
      </c>
      <c r="E95" s="3">
        <v>15339.2575875565</v>
      </c>
      <c r="F95" s="2">
        <v>0.61744272650013599</v>
      </c>
      <c r="G95" s="2">
        <v>0.61744272650013599</v>
      </c>
      <c r="H95" s="1">
        <v>0.23956728169380601</v>
      </c>
      <c r="I95" s="1">
        <v>0.44312433831313902</v>
      </c>
      <c r="J95" s="9">
        <v>0</v>
      </c>
      <c r="K95">
        <f t="shared" si="2"/>
        <v>0.92686676079488184</v>
      </c>
      <c r="L95">
        <f t="shared" si="3"/>
        <v>0.46792158356196872</v>
      </c>
    </row>
    <row r="96" spans="1:12" x14ac:dyDescent="0.35">
      <c r="A96" t="s">
        <v>58</v>
      </c>
      <c r="B96" t="s">
        <v>4</v>
      </c>
      <c r="C96">
        <v>2023</v>
      </c>
      <c r="D96" s="3">
        <v>5065.3356356039103</v>
      </c>
      <c r="E96" s="3">
        <v>12817.4503622389</v>
      </c>
      <c r="F96" s="1">
        <v>0.39519057944056502</v>
      </c>
      <c r="G96" s="1">
        <v>0.39519057944056502</v>
      </c>
      <c r="H96" s="1">
        <v>0.13690833522922499</v>
      </c>
      <c r="I96" s="1">
        <v>0.27535258562793802</v>
      </c>
      <c r="J96" s="9">
        <v>0</v>
      </c>
      <c r="K96">
        <f t="shared" si="2"/>
        <v>0.95255403753414147</v>
      </c>
      <c r="L96">
        <f t="shared" si="3"/>
        <v>0.61502988878145892</v>
      </c>
    </row>
    <row r="97" spans="1:12" x14ac:dyDescent="0.35">
      <c r="A97" t="s">
        <v>50</v>
      </c>
      <c r="B97" t="s">
        <v>4</v>
      </c>
      <c r="C97">
        <v>2023</v>
      </c>
      <c r="D97" s="3">
        <v>9792.4252980415895</v>
      </c>
      <c r="E97" s="3">
        <v>11535.9835164795</v>
      </c>
      <c r="F97" s="1">
        <v>0.84885916177435605</v>
      </c>
      <c r="G97" s="1">
        <v>0.84885916177435605</v>
      </c>
      <c r="H97" s="1">
        <v>0.296964072582167</v>
      </c>
      <c r="I97" s="1">
        <v>0.481361949330321</v>
      </c>
      <c r="J97" s="9">
        <v>0</v>
      </c>
      <c r="K97">
        <f t="shared" si="2"/>
        <v>0.90085616185505635</v>
      </c>
      <c r="L97">
        <f t="shared" si="3"/>
        <v>0.35200962184085993</v>
      </c>
    </row>
    <row r="98" spans="1:12" x14ac:dyDescent="0.35">
      <c r="A98" t="s">
        <v>102</v>
      </c>
      <c r="B98" t="s">
        <v>4</v>
      </c>
      <c r="C98">
        <v>2023</v>
      </c>
      <c r="D98" s="3">
        <v>34.734980050150398</v>
      </c>
      <c r="E98" s="3">
        <v>11465.436724442699</v>
      </c>
      <c r="F98" s="2">
        <v>3.0295383320288298E-3</v>
      </c>
      <c r="G98" s="2">
        <v>3.0295383320288298E-3</v>
      </c>
      <c r="H98" s="2">
        <v>3.0295383320288298E-3</v>
      </c>
      <c r="I98" s="1">
        <v>3.4028892455858703E-2</v>
      </c>
      <c r="J98" s="9">
        <v>0</v>
      </c>
      <c r="K98">
        <f t="shared" si="2"/>
        <v>0.99962743620429395</v>
      </c>
      <c r="L98">
        <f t="shared" si="3"/>
        <v>0.99628060201157631</v>
      </c>
    </row>
    <row r="99" spans="1:12" x14ac:dyDescent="0.35">
      <c r="A99" t="s">
        <v>98</v>
      </c>
      <c r="B99" t="s">
        <v>4</v>
      </c>
      <c r="C99">
        <v>2023</v>
      </c>
      <c r="D99" s="3">
        <v>140.467893428987</v>
      </c>
      <c r="E99" s="3">
        <v>11005.5893241299</v>
      </c>
      <c r="F99" s="1">
        <v>1.2763323188973399E-2</v>
      </c>
      <c r="G99" s="1">
        <v>1.2763323188973399E-2</v>
      </c>
      <c r="H99" s="1">
        <v>1.25379872988685E-2</v>
      </c>
      <c r="I99" s="1">
        <v>0.10389991203205901</v>
      </c>
      <c r="J99" s="9">
        <v>0</v>
      </c>
      <c r="K99">
        <f t="shared" si="2"/>
        <v>0.99843134287851143</v>
      </c>
      <c r="L99">
        <f t="shared" si="3"/>
        <v>0.98442369769012672</v>
      </c>
    </row>
    <row r="100" spans="1:12" x14ac:dyDescent="0.35">
      <c r="A100" t="s">
        <v>59</v>
      </c>
      <c r="B100" t="s">
        <v>4</v>
      </c>
      <c r="C100">
        <v>2023</v>
      </c>
      <c r="D100" s="3">
        <v>4022.2522085742798</v>
      </c>
      <c r="E100" s="3">
        <v>10226.2781561711</v>
      </c>
      <c r="F100" s="2">
        <v>0.39332513228647298</v>
      </c>
      <c r="G100" s="2">
        <v>0.39332513228647298</v>
      </c>
      <c r="H100" s="1">
        <v>0.103697801210429</v>
      </c>
      <c r="I100" s="1">
        <v>0.21313640730067199</v>
      </c>
      <c r="J100" s="9">
        <v>0</v>
      </c>
      <c r="K100">
        <f t="shared" si="2"/>
        <v>0.95277262613462743</v>
      </c>
      <c r="L100">
        <f t="shared" si="3"/>
        <v>0.61644269508317329</v>
      </c>
    </row>
    <row r="101" spans="1:12" x14ac:dyDescent="0.35">
      <c r="A101" t="s">
        <v>81</v>
      </c>
      <c r="B101" t="s">
        <v>4</v>
      </c>
      <c r="C101">
        <v>2023</v>
      </c>
      <c r="D101" s="3">
        <v>924.72287884256798</v>
      </c>
      <c r="E101" s="3">
        <v>8422.6177635226795</v>
      </c>
      <c r="F101" s="1">
        <v>0.10979043627593101</v>
      </c>
      <c r="G101" s="1">
        <v>0.10979043627593101</v>
      </c>
      <c r="H101" s="1">
        <v>1.74820657022484E-2</v>
      </c>
      <c r="I101" s="1">
        <v>3.2025016174250499E-2</v>
      </c>
      <c r="J101" s="9">
        <v>0</v>
      </c>
      <c r="K101">
        <f t="shared" si="2"/>
        <v>0.9865865493008743</v>
      </c>
      <c r="L101">
        <f t="shared" si="3"/>
        <v>0.87367900966092693</v>
      </c>
    </row>
    <row r="102" spans="1:12" x14ac:dyDescent="0.35">
      <c r="A102" t="s">
        <v>101</v>
      </c>
      <c r="B102" t="s">
        <v>4</v>
      </c>
      <c r="C102">
        <v>2023</v>
      </c>
      <c r="D102" s="3">
        <v>71.217024234627402</v>
      </c>
      <c r="E102" s="3">
        <v>7422.0511452520304</v>
      </c>
      <c r="F102" s="2">
        <v>9.5953292211123694E-3</v>
      </c>
      <c r="G102" s="2">
        <v>9.5953292211123694E-3</v>
      </c>
      <c r="H102" s="2">
        <v>9.5953292211123694E-3</v>
      </c>
      <c r="I102" s="1">
        <v>0.14400476048795</v>
      </c>
      <c r="J102" s="9">
        <v>0</v>
      </c>
      <c r="K102">
        <f t="shared" si="2"/>
        <v>0.99882047069799684</v>
      </c>
      <c r="L102">
        <f t="shared" si="3"/>
        <v>0.9882671184797408</v>
      </c>
    </row>
    <row r="103" spans="1:12" x14ac:dyDescent="0.35">
      <c r="A103" t="s">
        <v>78</v>
      </c>
      <c r="B103" t="s">
        <v>4</v>
      </c>
      <c r="C103">
        <v>2023</v>
      </c>
      <c r="D103" s="3">
        <v>1082.9314101385701</v>
      </c>
      <c r="E103" s="3">
        <v>7245.7386181802904</v>
      </c>
      <c r="F103" s="1">
        <v>0.14945769744182899</v>
      </c>
      <c r="G103" s="1">
        <v>0.14945769744182899</v>
      </c>
      <c r="H103" s="1">
        <v>7.2483812149016696E-2</v>
      </c>
      <c r="I103" s="1">
        <v>0.161030364081162</v>
      </c>
      <c r="J103" s="9">
        <v>0</v>
      </c>
      <c r="K103">
        <f t="shared" si="2"/>
        <v>0.98178464533048371</v>
      </c>
      <c r="L103">
        <f t="shared" si="3"/>
        <v>0.83207477545581865</v>
      </c>
    </row>
    <row r="104" spans="1:12" x14ac:dyDescent="0.35">
      <c r="A104" t="s">
        <v>97</v>
      </c>
      <c r="B104" t="s">
        <v>4</v>
      </c>
      <c r="C104">
        <v>2023</v>
      </c>
      <c r="D104" s="3">
        <v>150.00264218280199</v>
      </c>
      <c r="E104" s="3">
        <v>6657.9184498678096</v>
      </c>
      <c r="F104" s="1">
        <v>2.2529960874750701E-2</v>
      </c>
      <c r="G104" s="1">
        <v>2.2529960874750701E-2</v>
      </c>
      <c r="H104" s="1">
        <v>2.17207615441752E-2</v>
      </c>
      <c r="I104" s="1">
        <v>6.7367763431903302E-2</v>
      </c>
      <c r="J104" s="9">
        <v>0</v>
      </c>
      <c r="K104">
        <f t="shared" si="2"/>
        <v>0.99723265100166247</v>
      </c>
      <c r="L104">
        <f t="shared" si="3"/>
        <v>0.97266859905725567</v>
      </c>
    </row>
    <row r="105" spans="1:12" x14ac:dyDescent="0.35">
      <c r="A105" t="s">
        <v>49</v>
      </c>
      <c r="B105" t="s">
        <v>4</v>
      </c>
      <c r="C105">
        <v>2023</v>
      </c>
      <c r="D105" s="3">
        <v>11378.671192505</v>
      </c>
      <c r="E105" s="3">
        <v>6111.9337850397897</v>
      </c>
      <c r="F105" s="1">
        <v>1.8617137542223701</v>
      </c>
      <c r="G105" s="1">
        <v>1.8617137542223701</v>
      </c>
      <c r="H105" s="1">
        <v>0.52449206595511</v>
      </c>
      <c r="I105" s="1">
        <v>0.76696743821106295</v>
      </c>
      <c r="J105" s="9">
        <v>0</v>
      </c>
      <c r="K105">
        <f t="shared" si="2"/>
        <v>0.79533585710739041</v>
      </c>
      <c r="L105">
        <f t="shared" si="3"/>
        <v>0.10127578713260045</v>
      </c>
    </row>
    <row r="106" spans="1:12" x14ac:dyDescent="0.35">
      <c r="A106" t="s">
        <v>66</v>
      </c>
      <c r="B106" t="s">
        <v>4</v>
      </c>
      <c r="C106">
        <v>2023</v>
      </c>
      <c r="D106" s="3">
        <v>2156.2580036223899</v>
      </c>
      <c r="E106" s="3">
        <v>5449.5391388934504</v>
      </c>
      <c r="F106" s="1">
        <v>0.39567712950864797</v>
      </c>
      <c r="G106" s="1">
        <v>0.39567712950864797</v>
      </c>
      <c r="H106" s="1">
        <v>0.24748677007127801</v>
      </c>
      <c r="I106" s="1">
        <v>0.56361494446314298</v>
      </c>
      <c r="J106" s="9">
        <v>0</v>
      </c>
      <c r="K106">
        <f t="shared" si="2"/>
        <v>0.95249703301638178</v>
      </c>
      <c r="L106">
        <f t="shared" si="3"/>
        <v>0.61466193020991644</v>
      </c>
    </row>
    <row r="107" spans="1:12" x14ac:dyDescent="0.35">
      <c r="A107" t="s">
        <v>67</v>
      </c>
      <c r="B107" t="s">
        <v>4</v>
      </c>
      <c r="C107">
        <v>2023</v>
      </c>
      <c r="D107" s="3">
        <v>2042.0335376584301</v>
      </c>
      <c r="E107" s="3">
        <v>4660.4308205669904</v>
      </c>
      <c r="F107" s="1">
        <v>0.43816411320745702</v>
      </c>
      <c r="G107" s="1">
        <v>0.43816411320745702</v>
      </c>
      <c r="H107" s="1">
        <v>0.24838827318255699</v>
      </c>
      <c r="I107" s="1">
        <v>0.35094637223974701</v>
      </c>
      <c r="J107" s="9">
        <v>0</v>
      </c>
      <c r="K107">
        <f t="shared" si="2"/>
        <v>0.9475323634584355</v>
      </c>
      <c r="L107">
        <f t="shared" si="3"/>
        <v>0.58336520840522643</v>
      </c>
    </row>
    <row r="108" spans="1:12" x14ac:dyDescent="0.35">
      <c r="A108" t="s">
        <v>107</v>
      </c>
      <c r="B108" t="s">
        <v>4</v>
      </c>
      <c r="C108">
        <v>2023</v>
      </c>
      <c r="D108" s="3">
        <v>10.597247229751099</v>
      </c>
      <c r="E108" s="3">
        <v>3911.2849714919198</v>
      </c>
      <c r="F108" s="2">
        <v>2.70940299850075E-3</v>
      </c>
      <c r="G108" s="2">
        <v>2.70940299850075E-3</v>
      </c>
      <c r="H108" s="2">
        <v>2.70940299850075E-3</v>
      </c>
      <c r="I108" s="1">
        <v>1.53460695270905E-2</v>
      </c>
      <c r="J108" s="9">
        <v>0</v>
      </c>
      <c r="K108">
        <f t="shared" si="2"/>
        <v>0.99966679895498667</v>
      </c>
      <c r="L108">
        <f t="shared" si="3"/>
        <v>0.99667298114543712</v>
      </c>
    </row>
    <row r="109" spans="1:12" x14ac:dyDescent="0.35">
      <c r="A109" t="s">
        <v>52</v>
      </c>
      <c r="B109" t="s">
        <v>4</v>
      </c>
      <c r="C109">
        <v>2023</v>
      </c>
      <c r="D109" s="3">
        <v>9266.5420499475003</v>
      </c>
      <c r="E109" s="3">
        <v>3379.20614299824</v>
      </c>
      <c r="F109" s="1">
        <v>2.7422245515112702</v>
      </c>
      <c r="G109" s="1">
        <v>5.3775841889493998</v>
      </c>
      <c r="H109" s="1">
        <v>0.77539731804305301</v>
      </c>
      <c r="I109" s="1">
        <v>0.91074267544855703</v>
      </c>
      <c r="J109" s="9">
        <v>0</v>
      </c>
      <c r="K109">
        <f t="shared" si="2"/>
        <v>0.71369925287726987</v>
      </c>
      <c r="L109">
        <f t="shared" si="3"/>
        <v>3.4288810642777258E-2</v>
      </c>
    </row>
    <row r="110" spans="1:12" x14ac:dyDescent="0.35">
      <c r="A110" t="s">
        <v>92</v>
      </c>
      <c r="B110" t="s">
        <v>4</v>
      </c>
      <c r="C110">
        <v>2023</v>
      </c>
      <c r="D110" s="3">
        <v>223.27086691022799</v>
      </c>
      <c r="E110" s="3">
        <v>3275.40559509276</v>
      </c>
      <c r="F110" s="1">
        <v>6.8165868448394396E-2</v>
      </c>
      <c r="G110" s="1">
        <v>6.8165868448394396E-2</v>
      </c>
      <c r="H110" s="1">
        <v>3.0235476874607901E-2</v>
      </c>
      <c r="I110" s="1">
        <v>7.3006134969325107E-2</v>
      </c>
      <c r="J110" s="9">
        <v>0</v>
      </c>
      <c r="K110">
        <f t="shared" si="2"/>
        <v>0.99165064924862756</v>
      </c>
      <c r="L110">
        <f t="shared" si="3"/>
        <v>0.9195746818308308</v>
      </c>
    </row>
    <row r="111" spans="1:12" x14ac:dyDescent="0.35">
      <c r="A111" t="s">
        <v>82</v>
      </c>
      <c r="B111" t="s">
        <v>4</v>
      </c>
      <c r="C111">
        <v>2023</v>
      </c>
      <c r="D111" s="3">
        <v>899.49293386732495</v>
      </c>
      <c r="E111" s="3">
        <v>1456.8235109739901</v>
      </c>
      <c r="F111" s="1">
        <v>0.61743438864873001</v>
      </c>
      <c r="G111" s="1">
        <v>0.61743438864873001</v>
      </c>
      <c r="H111" s="1">
        <v>0.18683090402546801</v>
      </c>
      <c r="I111" s="1">
        <v>0.33978132884777101</v>
      </c>
      <c r="J111" s="9">
        <v>0</v>
      </c>
      <c r="K111">
        <f t="shared" si="2"/>
        <v>0.92686771134888024</v>
      </c>
      <c r="L111">
        <f t="shared" si="3"/>
        <v>0.46792638238315509</v>
      </c>
    </row>
    <row r="112" spans="1:12" x14ac:dyDescent="0.35">
      <c r="A112" t="s">
        <v>106</v>
      </c>
      <c r="B112" t="s">
        <v>4</v>
      </c>
      <c r="C112">
        <v>2023</v>
      </c>
      <c r="D112" s="3">
        <v>11.618500103011799</v>
      </c>
      <c r="E112" s="3">
        <v>1155.20620937021</v>
      </c>
      <c r="F112" s="1">
        <v>1.0057511818038E-2</v>
      </c>
      <c r="G112" s="1">
        <v>1.0057511818038E-2</v>
      </c>
      <c r="H112" s="1">
        <v>1.0057511818038E-2</v>
      </c>
      <c r="I112" s="2">
        <v>7.4999999999999997E-2</v>
      </c>
      <c r="J112" s="9">
        <v>0</v>
      </c>
      <c r="K112">
        <f t="shared" si="2"/>
        <v>0.99876369090693584</v>
      </c>
      <c r="L112">
        <f t="shared" si="3"/>
        <v>0.98770546350913746</v>
      </c>
    </row>
    <row r="113" spans="1:12" x14ac:dyDescent="0.35">
      <c r="A113" t="s">
        <v>99</v>
      </c>
      <c r="B113" t="s">
        <v>4</v>
      </c>
      <c r="C113">
        <v>2023</v>
      </c>
      <c r="D113" s="3">
        <v>131.148523642724</v>
      </c>
      <c r="E113" s="3">
        <v>631.91396416726798</v>
      </c>
      <c r="F113" s="1">
        <v>0.20754173998283301</v>
      </c>
      <c r="G113" s="1">
        <v>0.20754173998283301</v>
      </c>
      <c r="H113" s="1">
        <v>7.1672009076030996E-2</v>
      </c>
      <c r="I113" s="1">
        <v>0.15984405458089601</v>
      </c>
      <c r="J113" s="9">
        <v>0</v>
      </c>
      <c r="K113">
        <f t="shared" si="2"/>
        <v>0.97479544107888538</v>
      </c>
      <c r="L113">
        <f t="shared" si="3"/>
        <v>0.77470238698250937</v>
      </c>
    </row>
    <row r="114" spans="1:12" x14ac:dyDescent="0.35">
      <c r="A114" t="s">
        <v>80</v>
      </c>
      <c r="B114" t="s">
        <v>4</v>
      </c>
      <c r="C114">
        <v>2023</v>
      </c>
      <c r="D114" s="3">
        <v>931.50132546312705</v>
      </c>
      <c r="E114" s="3">
        <v>177.67855676903301</v>
      </c>
      <c r="F114" s="1">
        <v>5.2426209577670004</v>
      </c>
      <c r="G114" s="2">
        <v>7.0329743530139401</v>
      </c>
      <c r="H114" s="1">
        <v>0.75411127056906002</v>
      </c>
      <c r="I114" s="1">
        <v>0.93203883495145601</v>
      </c>
      <c r="J114" s="9">
        <v>0</v>
      </c>
      <c r="K114">
        <f t="shared" si="2"/>
        <v>0.52474524708583403</v>
      </c>
      <c r="L114">
        <f t="shared" si="3"/>
        <v>1.5830153868820359E-3</v>
      </c>
    </row>
    <row r="116" spans="1:12" x14ac:dyDescent="0.35">
      <c r="D116" s="8">
        <f>SUM(D2:D114)</f>
        <v>10178807.048131214</v>
      </c>
      <c r="E116" s="8">
        <f>SUM(E2:E114)</f>
        <v>38447044.836845465</v>
      </c>
      <c r="G116" t="s">
        <v>130</v>
      </c>
      <c r="H116">
        <f>(SUMPRODUCT(E2:E114,K2:K114))/SUM(E2:E114)</f>
        <v>0.97251473276404687</v>
      </c>
    </row>
    <row r="117" spans="1:12" x14ac:dyDescent="0.35">
      <c r="E117" s="8">
        <f>SUM(E2:E114)</f>
        <v>38447044.836845465</v>
      </c>
      <c r="G117" t="s">
        <v>132</v>
      </c>
      <c r="H117">
        <f>(SUMPRODUCT(E2:E114,L2:L114))/SUM(E2:E114)</f>
        <v>0.86224608218508814</v>
      </c>
    </row>
  </sheetData>
  <sortState xmlns:xlrd2="http://schemas.microsoft.com/office/spreadsheetml/2017/richdata2" ref="A2:I114">
    <sortCondition descending="1" ref="E2:E11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615D-F9C4-438D-9EAA-AC0EC69ADA26}">
  <dimension ref="A1:J114"/>
  <sheetViews>
    <sheetView tabSelected="1" zoomScale="184" zoomScaleNormal="184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12.81640625" customWidth="1"/>
    <col min="5" max="5" width="14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123</v>
      </c>
      <c r="E1" t="s">
        <v>122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35">
      <c r="A2" t="s">
        <v>8</v>
      </c>
      <c r="B2" t="s">
        <v>4</v>
      </c>
      <c r="C2">
        <v>2023</v>
      </c>
      <c r="D2" s="3">
        <v>334496.24602871202</v>
      </c>
      <c r="E2" s="3">
        <v>5331549.9395820601</v>
      </c>
      <c r="F2" s="1">
        <v>6.2739025202666096E-2</v>
      </c>
      <c r="G2" s="1">
        <v>6.1731297975361699E-2</v>
      </c>
      <c r="H2" s="1">
        <v>3.3973805628380399E-2</v>
      </c>
      <c r="I2" s="1">
        <v>4.8821079349724301E-2</v>
      </c>
      <c r="J2" s="9">
        <v>1</v>
      </c>
    </row>
    <row r="3" spans="1:10" x14ac:dyDescent="0.35">
      <c r="A3" t="s">
        <v>38</v>
      </c>
      <c r="B3" t="s">
        <v>4</v>
      </c>
      <c r="C3">
        <v>2023</v>
      </c>
      <c r="D3" s="3">
        <v>40163.838484738597</v>
      </c>
      <c r="E3" s="3">
        <v>3989337.0503622801</v>
      </c>
      <c r="F3" s="2">
        <v>1.0067797726214E-2</v>
      </c>
      <c r="G3" s="1">
        <v>1.03042893820884E-2</v>
      </c>
      <c r="H3" s="2">
        <v>5.8474906609939899E-3</v>
      </c>
      <c r="I3" s="1">
        <v>1.1223885868068899E-2</v>
      </c>
      <c r="J3" s="9">
        <v>1</v>
      </c>
    </row>
    <row r="4" spans="1:10" x14ac:dyDescent="0.35">
      <c r="A4" t="s">
        <v>37</v>
      </c>
      <c r="B4" t="s">
        <v>4</v>
      </c>
      <c r="C4">
        <v>2023</v>
      </c>
      <c r="D4" s="3">
        <v>40601.1222459442</v>
      </c>
      <c r="E4" s="3">
        <v>2754043.3151472998</v>
      </c>
      <c r="F4" s="1">
        <v>1.47423688010413E-2</v>
      </c>
      <c r="G4" s="1">
        <v>1.36176540594327E-2</v>
      </c>
      <c r="H4" s="1">
        <v>1.0983062015869099E-2</v>
      </c>
      <c r="I4" s="1">
        <v>5.0782182695629903E-2</v>
      </c>
      <c r="J4" s="9">
        <v>1</v>
      </c>
    </row>
    <row r="5" spans="1:10" x14ac:dyDescent="0.35">
      <c r="A5" t="s">
        <v>14</v>
      </c>
      <c r="B5" t="s">
        <v>4</v>
      </c>
      <c r="C5">
        <v>2023</v>
      </c>
      <c r="D5" s="3">
        <v>147944.81136347499</v>
      </c>
      <c r="E5" s="3">
        <v>2712221.50638365</v>
      </c>
      <c r="F5" s="1">
        <v>5.4547466353785198E-2</v>
      </c>
      <c r="G5" s="1">
        <v>5.9150635393716199E-2</v>
      </c>
      <c r="H5" s="1">
        <v>3.5953281285056898E-2</v>
      </c>
      <c r="I5" s="1">
        <v>0.10737125520429699</v>
      </c>
      <c r="J5" s="9">
        <v>1</v>
      </c>
    </row>
    <row r="6" spans="1:10" x14ac:dyDescent="0.35">
      <c r="A6" t="s">
        <v>90</v>
      </c>
      <c r="B6" t="s">
        <v>4</v>
      </c>
      <c r="C6">
        <v>2023</v>
      </c>
      <c r="D6" s="3">
        <v>290.78279132049198</v>
      </c>
      <c r="E6" s="3">
        <v>2616447.72753117</v>
      </c>
      <c r="F6" s="2">
        <v>1.11136480297608E-4</v>
      </c>
      <c r="G6" s="2">
        <v>1.11136480297608E-4</v>
      </c>
      <c r="H6" s="2">
        <v>1.0015531063095099E-4</v>
      </c>
      <c r="I6" s="2">
        <v>2.3907306145295901E-4</v>
      </c>
      <c r="J6" s="9">
        <v>1</v>
      </c>
    </row>
    <row r="7" spans="1:10" x14ac:dyDescent="0.35">
      <c r="A7" t="s">
        <v>36</v>
      </c>
      <c r="B7" t="s">
        <v>4</v>
      </c>
      <c r="C7">
        <v>2023</v>
      </c>
      <c r="D7" s="3">
        <v>43171.682618956998</v>
      </c>
      <c r="E7" s="4">
        <v>2554961.6894838498</v>
      </c>
      <c r="F7" s="1">
        <v>1.6897193721788599E-2</v>
      </c>
      <c r="G7" s="1">
        <v>1.6897193721788599E-2</v>
      </c>
      <c r="H7" s="2">
        <v>8.2284766424414405E-3</v>
      </c>
      <c r="I7" s="2">
        <v>2.98559917956518E-2</v>
      </c>
      <c r="J7" s="9">
        <v>0</v>
      </c>
    </row>
    <row r="8" spans="1:10" x14ac:dyDescent="0.35">
      <c r="A8" t="s">
        <v>15</v>
      </c>
      <c r="B8" t="s">
        <v>4</v>
      </c>
      <c r="C8">
        <v>2023</v>
      </c>
      <c r="D8" s="3">
        <v>147760.77954367001</v>
      </c>
      <c r="E8" s="3">
        <v>1267039.49627757</v>
      </c>
      <c r="F8" s="1">
        <v>0.116618921492009</v>
      </c>
      <c r="G8" s="1">
        <v>0.16008873442407501</v>
      </c>
      <c r="H8" s="1">
        <v>4.9583563987477E-2</v>
      </c>
      <c r="I8" s="2">
        <v>5.6993065566326703E-2</v>
      </c>
      <c r="J8" s="9">
        <v>1</v>
      </c>
    </row>
    <row r="9" spans="1:10" x14ac:dyDescent="0.35">
      <c r="A9" t="s">
        <v>11</v>
      </c>
      <c r="B9" t="s">
        <v>4</v>
      </c>
      <c r="C9">
        <v>2023</v>
      </c>
      <c r="D9" s="3">
        <v>258507.51419556499</v>
      </c>
      <c r="E9" s="3">
        <v>1081515.4299442801</v>
      </c>
      <c r="F9" s="1">
        <v>0.239023417547434</v>
      </c>
      <c r="G9" s="1">
        <v>0.24774438299271601</v>
      </c>
      <c r="H9" s="1">
        <v>0.119729399083139</v>
      </c>
      <c r="I9" s="1">
        <v>0.186970146685939</v>
      </c>
      <c r="J9" s="9">
        <v>1</v>
      </c>
    </row>
    <row r="10" spans="1:10" x14ac:dyDescent="0.35">
      <c r="A10" t="s">
        <v>45</v>
      </c>
      <c r="B10" t="s">
        <v>4</v>
      </c>
      <c r="C10">
        <v>2023</v>
      </c>
      <c r="D10" s="3">
        <v>24803.387184714</v>
      </c>
      <c r="E10" s="3">
        <v>1060983.84656125</v>
      </c>
      <c r="F10" s="1">
        <v>2.3377723671386699E-2</v>
      </c>
      <c r="G10" s="1">
        <v>4.1452786899394599E-2</v>
      </c>
      <c r="H10" s="2">
        <v>1.7391175614128701E-2</v>
      </c>
      <c r="I10" s="1">
        <v>7.0650011998844797E-2</v>
      </c>
      <c r="J10" s="9">
        <v>1</v>
      </c>
    </row>
    <row r="11" spans="1:10" x14ac:dyDescent="0.35">
      <c r="A11" t="s">
        <v>9</v>
      </c>
      <c r="B11" t="s">
        <v>4</v>
      </c>
      <c r="C11">
        <v>2023</v>
      </c>
      <c r="D11" s="3">
        <v>315235.02332907502</v>
      </c>
      <c r="E11" s="3">
        <v>1036586.43413146</v>
      </c>
      <c r="F11" s="1">
        <v>0.304108767922672</v>
      </c>
      <c r="G11" s="2">
        <v>0.36726958403474103</v>
      </c>
      <c r="H11" s="1">
        <v>0.14866980096816401</v>
      </c>
      <c r="I11" s="1">
        <v>0.32402575402894601</v>
      </c>
      <c r="J11" s="9">
        <v>1</v>
      </c>
    </row>
    <row r="12" spans="1:10" x14ac:dyDescent="0.35">
      <c r="A12" t="s">
        <v>3</v>
      </c>
      <c r="B12" t="s">
        <v>4</v>
      </c>
      <c r="C12">
        <v>2023</v>
      </c>
      <c r="D12" s="3">
        <v>4824681.6253978796</v>
      </c>
      <c r="E12" s="3">
        <v>896881.95964980999</v>
      </c>
      <c r="F12" s="1">
        <v>5.3793942151336003</v>
      </c>
      <c r="G12" s="1">
        <v>5.3793942151336003</v>
      </c>
      <c r="H12" s="1">
        <v>0.70273353996101895</v>
      </c>
      <c r="I12" s="1">
        <v>0.86261520875658504</v>
      </c>
      <c r="J12" s="9">
        <v>1</v>
      </c>
    </row>
    <row r="13" spans="1:10" x14ac:dyDescent="0.35">
      <c r="A13" t="s">
        <v>19</v>
      </c>
      <c r="B13" t="s">
        <v>4</v>
      </c>
      <c r="C13">
        <v>2023</v>
      </c>
      <c r="D13" s="3">
        <v>90355.604735064306</v>
      </c>
      <c r="E13" s="3">
        <v>860436.52877932298</v>
      </c>
      <c r="F13" s="1">
        <v>0.105011353787186</v>
      </c>
      <c r="G13" s="1">
        <v>0.105011353787186</v>
      </c>
      <c r="H13" s="1">
        <v>6.8092222734877E-2</v>
      </c>
      <c r="I13" s="1">
        <v>0.19151943558305301</v>
      </c>
      <c r="J13" s="9">
        <v>0</v>
      </c>
    </row>
    <row r="14" spans="1:10" x14ac:dyDescent="0.35">
      <c r="A14" t="s">
        <v>31</v>
      </c>
      <c r="B14" t="s">
        <v>4</v>
      </c>
      <c r="C14">
        <v>2023</v>
      </c>
      <c r="D14" s="3">
        <v>53867.3822455396</v>
      </c>
      <c r="E14" s="3">
        <v>847561.21473512403</v>
      </c>
      <c r="F14" s="2">
        <v>6.3555742416049596E-2</v>
      </c>
      <c r="G14" s="1">
        <v>8.7147495558776003E-2</v>
      </c>
      <c r="H14" s="1">
        <v>4.3428370539265702E-2</v>
      </c>
      <c r="I14" s="1">
        <v>0.13374612562480401</v>
      </c>
      <c r="J14" s="9">
        <v>1</v>
      </c>
    </row>
    <row r="15" spans="1:10" x14ac:dyDescent="0.35">
      <c r="A15" t="s">
        <v>18</v>
      </c>
      <c r="B15" t="s">
        <v>4</v>
      </c>
      <c r="C15">
        <v>2023</v>
      </c>
      <c r="D15" s="4">
        <v>93023.247421906606</v>
      </c>
      <c r="E15" s="3">
        <v>684042.79343990097</v>
      </c>
      <c r="F15" s="1">
        <v>0.13599039170358401</v>
      </c>
      <c r="G15" s="1">
        <v>0.13599039170358401</v>
      </c>
      <c r="H15" s="1">
        <v>7.1115534283407403E-2</v>
      </c>
      <c r="I15" s="1">
        <v>0.143697397163316</v>
      </c>
      <c r="J15" s="9">
        <v>1</v>
      </c>
    </row>
    <row r="16" spans="1:10" x14ac:dyDescent="0.35">
      <c r="A16" t="s">
        <v>13</v>
      </c>
      <c r="B16" t="s">
        <v>4</v>
      </c>
      <c r="C16">
        <v>2023</v>
      </c>
      <c r="D16" s="3">
        <v>165775.31406757401</v>
      </c>
      <c r="E16" s="3">
        <v>678708.519748174</v>
      </c>
      <c r="F16" s="1">
        <v>0.244251117002455</v>
      </c>
      <c r="G16" s="1">
        <v>0.24853297208743599</v>
      </c>
      <c r="H16" s="1">
        <v>0.108339726403683</v>
      </c>
      <c r="I16" s="1">
        <v>0.211647823088327</v>
      </c>
      <c r="J16" s="9">
        <v>1</v>
      </c>
    </row>
    <row r="17" spans="1:10" x14ac:dyDescent="0.35">
      <c r="A17" t="s">
        <v>116</v>
      </c>
      <c r="B17" t="s">
        <v>4</v>
      </c>
      <c r="C17">
        <v>2023</v>
      </c>
      <c r="D17" s="3">
        <v>0.40520847148426198</v>
      </c>
      <c r="E17" s="3">
        <v>610262.71667523996</v>
      </c>
      <c r="F17" s="1">
        <v>6.6399021341475602E-7</v>
      </c>
      <c r="G17" s="1">
        <v>6.6399021341475602E-7</v>
      </c>
      <c r="H17" s="1">
        <v>6.6399021341475602E-7</v>
      </c>
      <c r="I17" s="1">
        <v>1.11170813955642E-5</v>
      </c>
      <c r="J17" s="9">
        <v>0</v>
      </c>
    </row>
    <row r="18" spans="1:10" x14ac:dyDescent="0.35">
      <c r="A18" t="s">
        <v>30</v>
      </c>
      <c r="B18" t="s">
        <v>4</v>
      </c>
      <c r="C18">
        <v>2023</v>
      </c>
      <c r="D18" s="3">
        <v>56357.848276999001</v>
      </c>
      <c r="E18" s="3">
        <v>551670.56131970102</v>
      </c>
      <c r="F18" s="1">
        <v>0.10215852037161401</v>
      </c>
      <c r="G18" s="1">
        <v>0.10215852037161401</v>
      </c>
      <c r="H18" s="2">
        <v>5.3904247821614702E-2</v>
      </c>
      <c r="I18" s="1">
        <v>0.134034508980689</v>
      </c>
      <c r="J18" s="9">
        <v>0</v>
      </c>
    </row>
    <row r="19" spans="1:10" x14ac:dyDescent="0.35">
      <c r="A19" t="s">
        <v>10</v>
      </c>
      <c r="B19" t="s">
        <v>4</v>
      </c>
      <c r="C19">
        <v>2023</v>
      </c>
      <c r="D19" s="4">
        <v>284478.89299455902</v>
      </c>
      <c r="E19" s="3">
        <v>479424.500894072</v>
      </c>
      <c r="F19" s="1">
        <v>0.59337579215087699</v>
      </c>
      <c r="G19" s="1">
        <v>0.59337579215087699</v>
      </c>
      <c r="H19" s="1">
        <v>0.29943358985282098</v>
      </c>
      <c r="I19" s="1">
        <v>0.66232243551440295</v>
      </c>
      <c r="J19" s="9">
        <v>0</v>
      </c>
    </row>
    <row r="20" spans="1:10" x14ac:dyDescent="0.35">
      <c r="A20" t="s">
        <v>111</v>
      </c>
      <c r="B20" t="s">
        <v>4</v>
      </c>
      <c r="C20">
        <v>2023</v>
      </c>
      <c r="D20" s="3">
        <v>2.9628286407972402</v>
      </c>
      <c r="E20" s="3">
        <v>443733.14833511098</v>
      </c>
      <c r="F20" s="1">
        <v>6.6770505018923898E-6</v>
      </c>
      <c r="G20" s="1">
        <v>6.6770505018923898E-6</v>
      </c>
      <c r="H20" s="1">
        <v>6.6770505018923898E-6</v>
      </c>
      <c r="I20" s="2">
        <v>1.19814940378451E-4</v>
      </c>
      <c r="J20" s="9">
        <v>0</v>
      </c>
    </row>
    <row r="21" spans="1:10" x14ac:dyDescent="0.35">
      <c r="A21" t="s">
        <v>16</v>
      </c>
      <c r="B21" t="s">
        <v>4</v>
      </c>
      <c r="C21">
        <v>2023</v>
      </c>
      <c r="D21" s="3">
        <v>104936.56946847901</v>
      </c>
      <c r="E21" s="3">
        <v>411507.93717235798</v>
      </c>
      <c r="F21" s="1">
        <v>0.25500497071707001</v>
      </c>
      <c r="G21" s="1">
        <v>0.25500497071707001</v>
      </c>
      <c r="H21" s="1">
        <v>7.8364809692076501E-2</v>
      </c>
      <c r="I21" s="1">
        <v>0.18237076627575399</v>
      </c>
      <c r="J21" s="9">
        <v>0</v>
      </c>
    </row>
    <row r="22" spans="1:10" x14ac:dyDescent="0.35">
      <c r="A22" t="s">
        <v>20</v>
      </c>
      <c r="B22" t="s">
        <v>4</v>
      </c>
      <c r="C22">
        <v>2023</v>
      </c>
      <c r="D22" s="3">
        <v>85358.028547527603</v>
      </c>
      <c r="E22" s="3">
        <v>321370.32164635998</v>
      </c>
      <c r="F22" s="1">
        <v>0.26560644464692201</v>
      </c>
      <c r="G22" s="1">
        <v>0.26560644464692201</v>
      </c>
      <c r="H22" s="1">
        <v>0.13736464781772301</v>
      </c>
      <c r="I22" s="1">
        <v>0.24989201104914199</v>
      </c>
      <c r="J22" s="9">
        <v>1</v>
      </c>
    </row>
    <row r="23" spans="1:10" x14ac:dyDescent="0.35">
      <c r="A23" t="s">
        <v>5</v>
      </c>
      <c r="B23" t="s">
        <v>4</v>
      </c>
      <c r="C23">
        <v>2023</v>
      </c>
      <c r="D23" s="3">
        <v>752108.27460575302</v>
      </c>
      <c r="E23" s="3">
        <v>318660.96159217</v>
      </c>
      <c r="F23" s="2">
        <v>2.3602146646639399</v>
      </c>
      <c r="G23" s="2">
        <v>2.3602146646639399</v>
      </c>
      <c r="H23" s="1">
        <v>0.49092812752206599</v>
      </c>
      <c r="I23" s="1">
        <v>0.66990855312360498</v>
      </c>
      <c r="J23" s="9">
        <v>1</v>
      </c>
    </row>
    <row r="24" spans="1:10" x14ac:dyDescent="0.35">
      <c r="A24" t="s">
        <v>86</v>
      </c>
      <c r="B24" t="s">
        <v>4</v>
      </c>
      <c r="C24">
        <v>2023</v>
      </c>
      <c r="D24" s="3">
        <v>648.56444554384098</v>
      </c>
      <c r="E24" s="3">
        <v>318030.11872994603</v>
      </c>
      <c r="F24" s="2">
        <v>2.0393176851735998E-3</v>
      </c>
      <c r="G24" s="2">
        <v>2.0393176851735998E-3</v>
      </c>
      <c r="H24" s="2">
        <v>2.02265116269008E-3</v>
      </c>
      <c r="I24" s="1">
        <v>1.3348019480893199E-2</v>
      </c>
      <c r="J24" s="9">
        <v>0</v>
      </c>
    </row>
    <row r="25" spans="1:10" x14ac:dyDescent="0.35">
      <c r="A25" t="s">
        <v>34</v>
      </c>
      <c r="B25" t="s">
        <v>4</v>
      </c>
      <c r="C25">
        <v>2023</v>
      </c>
      <c r="D25" s="3">
        <v>47298.9354589797</v>
      </c>
      <c r="E25" s="3">
        <v>285377.857648434</v>
      </c>
      <c r="F25" s="1">
        <v>0.16574143435209501</v>
      </c>
      <c r="G25" s="1">
        <v>0.16574143435209501</v>
      </c>
      <c r="H25" s="1">
        <v>8.6017382866050901E-2</v>
      </c>
      <c r="I25" s="1">
        <v>0.27969022232256502</v>
      </c>
      <c r="J25" s="9">
        <v>0</v>
      </c>
    </row>
    <row r="26" spans="1:10" x14ac:dyDescent="0.35">
      <c r="A26" t="s">
        <v>70</v>
      </c>
      <c r="B26" t="s">
        <v>4</v>
      </c>
      <c r="C26">
        <v>2023</v>
      </c>
      <c r="D26" s="3">
        <v>1943.5152505140099</v>
      </c>
      <c r="E26" s="3">
        <v>279843.64502382901</v>
      </c>
      <c r="F26" s="2">
        <v>6.9450040587790097E-3</v>
      </c>
      <c r="G26" s="2">
        <v>6.1552512966099098E-3</v>
      </c>
      <c r="H26" s="2">
        <v>5.3654158453532198E-3</v>
      </c>
      <c r="I26" s="1">
        <v>1.8198636243309699E-2</v>
      </c>
      <c r="J26" s="9">
        <v>1</v>
      </c>
    </row>
    <row r="27" spans="1:10" x14ac:dyDescent="0.35">
      <c r="A27" t="s">
        <v>29</v>
      </c>
      <c r="B27" t="s">
        <v>4</v>
      </c>
      <c r="C27">
        <v>2023</v>
      </c>
      <c r="D27" s="3">
        <v>60778.456303145504</v>
      </c>
      <c r="E27" s="3">
        <v>276168.013712299</v>
      </c>
      <c r="F27" s="1">
        <v>0.220077826849499</v>
      </c>
      <c r="G27" s="1">
        <v>0.33446004991172801</v>
      </c>
      <c r="H27" s="1">
        <v>0.101821813464337</v>
      </c>
      <c r="I27" s="1">
        <v>0.20499482795057</v>
      </c>
      <c r="J27" s="9">
        <v>1</v>
      </c>
    </row>
    <row r="28" spans="1:10" x14ac:dyDescent="0.35">
      <c r="A28" t="s">
        <v>63</v>
      </c>
      <c r="B28" t="s">
        <v>4</v>
      </c>
      <c r="C28">
        <v>2023</v>
      </c>
      <c r="D28" s="3">
        <v>2936.5581152155601</v>
      </c>
      <c r="E28" s="3">
        <v>269566.83317793201</v>
      </c>
      <c r="F28" s="1">
        <v>1.0893618033778E-2</v>
      </c>
      <c r="G28" s="1">
        <v>1.0893618033778E-2</v>
      </c>
      <c r="H28" s="1">
        <v>1.07089626506823E-2</v>
      </c>
      <c r="I28" s="1">
        <v>7.0388950823733407E-2</v>
      </c>
      <c r="J28" s="9">
        <v>0</v>
      </c>
    </row>
    <row r="29" spans="1:10" x14ac:dyDescent="0.35">
      <c r="A29" t="s">
        <v>25</v>
      </c>
      <c r="B29" t="s">
        <v>4</v>
      </c>
      <c r="C29">
        <v>2023</v>
      </c>
      <c r="D29" s="3">
        <v>66870.118603258903</v>
      </c>
      <c r="E29" s="3">
        <v>229082.45316088799</v>
      </c>
      <c r="F29" s="1">
        <v>0.29190414927281599</v>
      </c>
      <c r="G29" s="1">
        <v>0.310332461672927</v>
      </c>
      <c r="H29" s="1">
        <v>0.21341014581106399</v>
      </c>
      <c r="I29" s="1">
        <v>0.45261190475408303</v>
      </c>
      <c r="J29" s="9">
        <v>1</v>
      </c>
    </row>
    <row r="30" spans="1:10" x14ac:dyDescent="0.35">
      <c r="A30" t="s">
        <v>6</v>
      </c>
      <c r="B30" t="s">
        <v>4</v>
      </c>
      <c r="C30">
        <v>2023</v>
      </c>
      <c r="D30" s="3">
        <v>445612.83994804998</v>
      </c>
      <c r="E30" s="3">
        <v>213460.95008184499</v>
      </c>
      <c r="F30" s="2">
        <v>2.08756140070206</v>
      </c>
      <c r="G30" s="1">
        <v>2.5864585288744699</v>
      </c>
      <c r="H30" s="1">
        <v>0.407798708553262</v>
      </c>
      <c r="I30" s="1">
        <v>0.59235652013590701</v>
      </c>
      <c r="J30" s="9">
        <v>1</v>
      </c>
    </row>
    <row r="31" spans="1:10" x14ac:dyDescent="0.35">
      <c r="A31" t="s">
        <v>28</v>
      </c>
      <c r="B31" t="s">
        <v>4</v>
      </c>
      <c r="C31">
        <v>2023</v>
      </c>
      <c r="D31" s="3">
        <v>61511.552233112001</v>
      </c>
      <c r="E31" s="3">
        <v>203967.10785236501</v>
      </c>
      <c r="F31" s="1">
        <v>0.30157584171676799</v>
      </c>
      <c r="G31" s="1">
        <v>0.55602177207298797</v>
      </c>
      <c r="H31" s="1">
        <v>0.164455600513912</v>
      </c>
      <c r="I31" s="1">
        <v>0.27906553598800199</v>
      </c>
      <c r="J31" s="9">
        <v>1</v>
      </c>
    </row>
    <row r="32" spans="1:10" x14ac:dyDescent="0.35">
      <c r="A32" t="s">
        <v>113</v>
      </c>
      <c r="B32" t="s">
        <v>4</v>
      </c>
      <c r="C32">
        <v>2023</v>
      </c>
      <c r="D32" s="3">
        <v>1.9978027556039999</v>
      </c>
      <c r="E32" s="3">
        <v>195257.928968216</v>
      </c>
      <c r="F32" s="1">
        <v>1.0231608857887601E-5</v>
      </c>
      <c r="G32" s="1">
        <v>1.0231608857887601E-5</v>
      </c>
      <c r="H32" s="1">
        <v>1.0231608857887601E-5</v>
      </c>
      <c r="I32" s="2">
        <v>1.8939393939393899E-4</v>
      </c>
      <c r="J32" s="9">
        <v>0</v>
      </c>
    </row>
    <row r="33" spans="1:10" x14ac:dyDescent="0.35">
      <c r="A33" t="s">
        <v>7</v>
      </c>
      <c r="B33" t="s">
        <v>4</v>
      </c>
      <c r="C33">
        <v>2023</v>
      </c>
      <c r="D33" s="3">
        <v>341012.30712446099</v>
      </c>
      <c r="E33" s="3">
        <v>193399.99807728501</v>
      </c>
      <c r="F33" s="1">
        <v>1.76324876170985</v>
      </c>
      <c r="G33" s="1">
        <v>1.76324876170985</v>
      </c>
      <c r="H33" s="1">
        <v>0.441947023227441</v>
      </c>
      <c r="I33" s="1">
        <v>0.61093654711775802</v>
      </c>
      <c r="J33" s="9">
        <v>1</v>
      </c>
    </row>
    <row r="34" spans="1:10" x14ac:dyDescent="0.35">
      <c r="A34" t="s">
        <v>21</v>
      </c>
      <c r="B34" t="s">
        <v>4</v>
      </c>
      <c r="C34">
        <v>2023</v>
      </c>
      <c r="D34" s="3">
        <v>85010.077098170295</v>
      </c>
      <c r="E34" s="3">
        <v>186565.679830468</v>
      </c>
      <c r="F34" s="2">
        <v>0.45565763850788898</v>
      </c>
      <c r="G34" s="2">
        <v>0.45565763850788898</v>
      </c>
      <c r="H34" s="1">
        <v>5.2795716578214899E-2</v>
      </c>
      <c r="I34" s="1">
        <v>0.100771796557349</v>
      </c>
      <c r="J34" s="9">
        <v>0</v>
      </c>
    </row>
    <row r="35" spans="1:10" x14ac:dyDescent="0.35">
      <c r="A35" t="s">
        <v>24</v>
      </c>
      <c r="B35" t="s">
        <v>4</v>
      </c>
      <c r="C35">
        <v>2023</v>
      </c>
      <c r="D35" s="3">
        <v>67848.255928281695</v>
      </c>
      <c r="E35" s="3">
        <v>179893.91073088601</v>
      </c>
      <c r="F35" s="1">
        <v>0.37715704579784098</v>
      </c>
      <c r="G35" s="1">
        <v>0.40451598528125599</v>
      </c>
      <c r="H35" s="1">
        <v>0.10712045813320301</v>
      </c>
      <c r="I35" s="1">
        <v>0.24519690915088099</v>
      </c>
      <c r="J35" s="9">
        <v>1</v>
      </c>
    </row>
    <row r="36" spans="1:10" x14ac:dyDescent="0.35">
      <c r="A36" t="s">
        <v>57</v>
      </c>
      <c r="B36" t="s">
        <v>4</v>
      </c>
      <c r="C36">
        <v>2023</v>
      </c>
      <c r="D36" s="4">
        <v>5203.6171891311296</v>
      </c>
      <c r="E36" s="3">
        <v>160872.17757159</v>
      </c>
      <c r="F36" s="1">
        <v>3.2346284284088998E-2</v>
      </c>
      <c r="G36" s="1">
        <v>3.2346284284088998E-2</v>
      </c>
      <c r="H36" s="1">
        <v>1.63241624439837E-2</v>
      </c>
      <c r="I36" s="1">
        <v>3.8979380472648498E-2</v>
      </c>
      <c r="J36" s="9">
        <v>0</v>
      </c>
    </row>
    <row r="37" spans="1:10" x14ac:dyDescent="0.35">
      <c r="A37" t="s">
        <v>12</v>
      </c>
      <c r="B37" t="s">
        <v>4</v>
      </c>
      <c r="C37">
        <v>2023</v>
      </c>
      <c r="D37" s="3">
        <v>208080.780768236</v>
      </c>
      <c r="E37" s="3">
        <v>157549.604743787</v>
      </c>
      <c r="F37" s="1">
        <v>1.3207318489095801</v>
      </c>
      <c r="G37" s="1">
        <v>1.3242682889277799</v>
      </c>
      <c r="H37" s="1">
        <v>0.33491653633712598</v>
      </c>
      <c r="I37" s="2">
        <v>0.50018234865061995</v>
      </c>
      <c r="J37" s="9">
        <v>1</v>
      </c>
    </row>
    <row r="38" spans="1:10" x14ac:dyDescent="0.35">
      <c r="A38" t="s">
        <v>71</v>
      </c>
      <c r="B38" t="s">
        <v>4</v>
      </c>
      <c r="C38">
        <v>2023</v>
      </c>
      <c r="D38" s="3">
        <v>1762.39498653992</v>
      </c>
      <c r="E38" s="3">
        <v>154402.374572492</v>
      </c>
      <c r="F38" s="1">
        <v>1.1414299756850399E-2</v>
      </c>
      <c r="G38" s="1">
        <v>1.1414299756850399E-2</v>
      </c>
      <c r="H38" s="2">
        <v>9.1916822107554995E-3</v>
      </c>
      <c r="I38" s="1">
        <v>4.1575269491100499E-2</v>
      </c>
      <c r="J38" s="9">
        <v>0</v>
      </c>
    </row>
    <row r="39" spans="1:10" x14ac:dyDescent="0.35">
      <c r="A39" t="s">
        <v>53</v>
      </c>
      <c r="B39" t="s">
        <v>4</v>
      </c>
      <c r="C39">
        <v>2023</v>
      </c>
      <c r="D39" s="3">
        <v>9190.0064382942401</v>
      </c>
      <c r="E39" s="3">
        <v>153446.67548488599</v>
      </c>
      <c r="F39" s="2">
        <v>5.9890554221876197E-2</v>
      </c>
      <c r="G39" s="2">
        <v>5.9890554221876197E-2</v>
      </c>
      <c r="H39" s="1">
        <v>4.0328920587408702E-2</v>
      </c>
      <c r="I39" s="1">
        <v>0.11010785801311</v>
      </c>
      <c r="J39" s="9">
        <v>0</v>
      </c>
    </row>
    <row r="40" spans="1:10" x14ac:dyDescent="0.35">
      <c r="A40" t="s">
        <v>47</v>
      </c>
      <c r="B40" t="s">
        <v>4</v>
      </c>
      <c r="C40">
        <v>2023</v>
      </c>
      <c r="D40" s="3">
        <v>19481.468768793398</v>
      </c>
      <c r="E40" s="3">
        <v>149393.95968293</v>
      </c>
      <c r="F40" s="1">
        <v>0.130403322933138</v>
      </c>
      <c r="G40" s="1">
        <v>0.189085018261022</v>
      </c>
      <c r="H40" s="1">
        <v>6.1277749154553099E-2</v>
      </c>
      <c r="I40" s="1">
        <v>0.13606590332280699</v>
      </c>
      <c r="J40" s="9">
        <v>1</v>
      </c>
    </row>
    <row r="41" spans="1:10" x14ac:dyDescent="0.35">
      <c r="A41" t="s">
        <v>73</v>
      </c>
      <c r="B41" t="s">
        <v>4</v>
      </c>
      <c r="C41">
        <v>2023</v>
      </c>
      <c r="D41" s="3">
        <v>1582.9145101757699</v>
      </c>
      <c r="E41" s="3">
        <v>148478.42454236801</v>
      </c>
      <c r="F41" s="1">
        <v>1.0660905886188799E-2</v>
      </c>
      <c r="G41" s="1">
        <v>1.0660905886188799E-2</v>
      </c>
      <c r="H41" s="2">
        <v>3.9718703719664097E-3</v>
      </c>
      <c r="I41" s="1">
        <v>1.7064536625215499E-2</v>
      </c>
      <c r="J41" s="9">
        <v>0</v>
      </c>
    </row>
    <row r="42" spans="1:10" x14ac:dyDescent="0.35">
      <c r="A42" t="s">
        <v>100</v>
      </c>
      <c r="B42" t="s">
        <v>4</v>
      </c>
      <c r="C42">
        <v>2023</v>
      </c>
      <c r="D42" s="3">
        <v>127.65656928772</v>
      </c>
      <c r="E42" s="3">
        <v>140476.477433594</v>
      </c>
      <c r="F42" s="2">
        <v>9.0873982334918298E-4</v>
      </c>
      <c r="G42" s="2">
        <v>9.0873982334918298E-4</v>
      </c>
      <c r="H42" s="2">
        <v>8.9527879205390001E-4</v>
      </c>
      <c r="I42" s="1">
        <v>1.1107191713054101E-2</v>
      </c>
      <c r="J42" s="9">
        <v>0</v>
      </c>
    </row>
    <row r="43" spans="1:10" x14ac:dyDescent="0.35">
      <c r="A43" t="s">
        <v>40</v>
      </c>
      <c r="B43" t="s">
        <v>4</v>
      </c>
      <c r="C43">
        <v>2023</v>
      </c>
      <c r="D43" s="3">
        <v>37036.371829431198</v>
      </c>
      <c r="E43" s="3">
        <v>122622.306376252</v>
      </c>
      <c r="F43" s="1">
        <v>0.30203617044837899</v>
      </c>
      <c r="G43" s="1">
        <v>0.34335721234750899</v>
      </c>
      <c r="H43" s="1">
        <v>0.15299951359385899</v>
      </c>
      <c r="I43" s="1">
        <v>0.33791516002383398</v>
      </c>
      <c r="J43" s="9">
        <v>0</v>
      </c>
    </row>
    <row r="44" spans="1:10" x14ac:dyDescent="0.35">
      <c r="A44" t="s">
        <v>72</v>
      </c>
      <c r="B44" t="s">
        <v>4</v>
      </c>
      <c r="C44">
        <v>2023</v>
      </c>
      <c r="D44" s="3">
        <v>1695.7234979741099</v>
      </c>
      <c r="E44" s="3">
        <v>122131.190413508</v>
      </c>
      <c r="F44" s="1">
        <v>1.38844425591267E-2</v>
      </c>
      <c r="G44" s="1">
        <v>1.38844425591267E-2</v>
      </c>
      <c r="H44" s="1">
        <v>1.2985925646516801E-2</v>
      </c>
      <c r="I44" s="1">
        <v>9.1699214365880993E-2</v>
      </c>
      <c r="J44" s="9">
        <v>0</v>
      </c>
    </row>
    <row r="45" spans="1:10" x14ac:dyDescent="0.35">
      <c r="A45" t="s">
        <v>104</v>
      </c>
      <c r="B45" t="s">
        <v>4</v>
      </c>
      <c r="C45">
        <v>2023</v>
      </c>
      <c r="D45" s="3">
        <v>18.796472296099999</v>
      </c>
      <c r="E45" s="3">
        <v>119089.51531536601</v>
      </c>
      <c r="F45" s="2">
        <v>1.5783482069201701E-4</v>
      </c>
      <c r="G45" s="2">
        <v>1.5783482069201701E-4</v>
      </c>
      <c r="H45" s="2">
        <v>1.5783482069201701E-4</v>
      </c>
      <c r="I45" s="2">
        <v>2.3424713584288001E-3</v>
      </c>
      <c r="J45" s="9">
        <v>0</v>
      </c>
    </row>
    <row r="46" spans="1:10" x14ac:dyDescent="0.35">
      <c r="A46" t="s">
        <v>76</v>
      </c>
      <c r="B46" t="s">
        <v>4</v>
      </c>
      <c r="C46">
        <v>2023</v>
      </c>
      <c r="D46" s="3">
        <v>1438.5353040525099</v>
      </c>
      <c r="E46" s="3">
        <v>105820.549838768</v>
      </c>
      <c r="F46" s="1">
        <v>1.35941015827673E-2</v>
      </c>
      <c r="G46" s="1">
        <v>1.35941015827673E-2</v>
      </c>
      <c r="H46" s="1">
        <v>1.1341607328667401E-2</v>
      </c>
      <c r="I46" s="1">
        <v>5.2061708796352801E-2</v>
      </c>
      <c r="J46" s="9">
        <v>0</v>
      </c>
    </row>
    <row r="47" spans="1:10" x14ac:dyDescent="0.35">
      <c r="A47" t="s">
        <v>42</v>
      </c>
      <c r="B47" t="s">
        <v>4</v>
      </c>
      <c r="C47">
        <v>2023</v>
      </c>
      <c r="D47" s="3">
        <v>34623.697262469599</v>
      </c>
      <c r="E47" s="3">
        <v>94871.198133112295</v>
      </c>
      <c r="F47" s="1">
        <v>0.36495478020515398</v>
      </c>
      <c r="G47" s="1">
        <v>0.36495478020515398</v>
      </c>
      <c r="H47" s="1">
        <v>9.9283233263241996E-2</v>
      </c>
      <c r="I47" s="1">
        <v>0.17976813310958201</v>
      </c>
      <c r="J47" s="9">
        <v>0</v>
      </c>
    </row>
    <row r="48" spans="1:10" x14ac:dyDescent="0.35">
      <c r="A48" t="s">
        <v>46</v>
      </c>
      <c r="B48" t="s">
        <v>4</v>
      </c>
      <c r="C48">
        <v>2023</v>
      </c>
      <c r="D48" s="3">
        <v>21069.098719985101</v>
      </c>
      <c r="E48" s="3">
        <v>93346.861331544002</v>
      </c>
      <c r="F48" s="1">
        <v>0.22570762872415301</v>
      </c>
      <c r="G48" s="1">
        <v>0.23009024719920501</v>
      </c>
      <c r="H48" s="1">
        <v>0.103795581593771</v>
      </c>
      <c r="I48" s="1">
        <v>0.272530009727106</v>
      </c>
      <c r="J48" s="9">
        <v>0</v>
      </c>
    </row>
    <row r="49" spans="1:10" x14ac:dyDescent="0.35">
      <c r="A49" t="s">
        <v>61</v>
      </c>
      <c r="B49" t="s">
        <v>4</v>
      </c>
      <c r="C49">
        <v>2023</v>
      </c>
      <c r="D49" s="3">
        <v>3254.2807077644002</v>
      </c>
      <c r="E49" s="3">
        <v>92244.925716287195</v>
      </c>
      <c r="F49" s="2">
        <v>3.5278696172117097E-2</v>
      </c>
      <c r="G49" s="2">
        <v>3.5278696172117097E-2</v>
      </c>
      <c r="H49" s="1">
        <v>2.33002974721419E-2</v>
      </c>
      <c r="I49" s="2">
        <v>6.8711834070330602E-2</v>
      </c>
      <c r="J49" s="9">
        <v>0</v>
      </c>
    </row>
    <row r="50" spans="1:10" x14ac:dyDescent="0.35">
      <c r="A50" t="s">
        <v>26</v>
      </c>
      <c r="B50" t="s">
        <v>4</v>
      </c>
      <c r="C50">
        <v>2023</v>
      </c>
      <c r="D50" s="3">
        <v>63466.525663057299</v>
      </c>
      <c r="E50" s="4">
        <v>83790.2718847129</v>
      </c>
      <c r="F50" s="2">
        <v>0.75744503789629702</v>
      </c>
      <c r="G50" s="2">
        <v>0.75744503789629702</v>
      </c>
      <c r="H50" s="1">
        <v>0.254187828908504</v>
      </c>
      <c r="I50" s="1">
        <v>0.41842839512797098</v>
      </c>
      <c r="J50" s="9">
        <v>0</v>
      </c>
    </row>
    <row r="51" spans="1:10" x14ac:dyDescent="0.35">
      <c r="A51" t="s">
        <v>39</v>
      </c>
      <c r="B51" t="s">
        <v>4</v>
      </c>
      <c r="C51">
        <v>2023</v>
      </c>
      <c r="D51" s="3">
        <v>37942.406118357198</v>
      </c>
      <c r="E51" s="3">
        <v>82361.2786846245</v>
      </c>
      <c r="F51" s="1">
        <v>0.46068257710817301</v>
      </c>
      <c r="G51" s="1">
        <v>0.46068257710817301</v>
      </c>
      <c r="H51" s="1">
        <v>0.17527302886942001</v>
      </c>
      <c r="I51" s="1">
        <v>0.34953570850440702</v>
      </c>
      <c r="J51" s="9">
        <v>0</v>
      </c>
    </row>
    <row r="52" spans="1:10" x14ac:dyDescent="0.35">
      <c r="A52" t="s">
        <v>88</v>
      </c>
      <c r="B52" t="s">
        <v>4</v>
      </c>
      <c r="C52">
        <v>2023</v>
      </c>
      <c r="D52" s="3">
        <v>538.08536734300003</v>
      </c>
      <c r="E52" s="3">
        <v>81316.814054268994</v>
      </c>
      <c r="F52" s="2">
        <v>6.6171476785095596E-3</v>
      </c>
      <c r="G52" s="2">
        <v>6.6171476785095596E-3</v>
      </c>
      <c r="H52" s="2">
        <v>6.4733610388624302E-3</v>
      </c>
      <c r="I52" s="1">
        <v>3.1056361938714801E-2</v>
      </c>
      <c r="J52" s="9">
        <v>0</v>
      </c>
    </row>
    <row r="53" spans="1:10" x14ac:dyDescent="0.35">
      <c r="A53" t="s">
        <v>43</v>
      </c>
      <c r="B53" t="s">
        <v>4</v>
      </c>
      <c r="C53">
        <v>2023</v>
      </c>
      <c r="D53" s="3">
        <v>32876.7641782422</v>
      </c>
      <c r="E53" s="3">
        <v>80776.123945856205</v>
      </c>
      <c r="F53" s="1">
        <v>0.40701091575376003</v>
      </c>
      <c r="G53" s="1">
        <v>0.43719847483531599</v>
      </c>
      <c r="H53" s="1">
        <v>0.15416332324861801</v>
      </c>
      <c r="I53" s="1">
        <v>0.37674500587544002</v>
      </c>
      <c r="J53" s="9">
        <v>0</v>
      </c>
    </row>
    <row r="54" spans="1:10" x14ac:dyDescent="0.35">
      <c r="A54" t="s">
        <v>75</v>
      </c>
      <c r="B54" t="s">
        <v>4</v>
      </c>
      <c r="C54">
        <v>2023</v>
      </c>
      <c r="D54" s="3">
        <v>1455.9371893447601</v>
      </c>
      <c r="E54" s="3">
        <v>77403.259794389101</v>
      </c>
      <c r="F54" s="1">
        <v>1.8809765805887901E-2</v>
      </c>
      <c r="G54" s="1">
        <v>1.8809765805887901E-2</v>
      </c>
      <c r="H54" s="1">
        <v>1.7079850966626599E-2</v>
      </c>
      <c r="I54" s="1">
        <v>7.9456386703309095E-2</v>
      </c>
      <c r="J54" s="9">
        <v>1</v>
      </c>
    </row>
    <row r="55" spans="1:10" x14ac:dyDescent="0.35">
      <c r="A55" t="s">
        <v>33</v>
      </c>
      <c r="B55" t="s">
        <v>4</v>
      </c>
      <c r="C55">
        <v>2023</v>
      </c>
      <c r="D55" s="3">
        <v>53089.293764044298</v>
      </c>
      <c r="E55" s="3">
        <v>76828.824937055906</v>
      </c>
      <c r="F55" s="1">
        <v>0.69100749370485803</v>
      </c>
      <c r="G55" s="1">
        <v>1.49061500242885</v>
      </c>
      <c r="H55" s="1">
        <v>0.34378571869712399</v>
      </c>
      <c r="I55" s="1">
        <v>0.66420610946730296</v>
      </c>
      <c r="J55" s="9">
        <v>1</v>
      </c>
    </row>
    <row r="56" spans="1:10" x14ac:dyDescent="0.35">
      <c r="A56" t="s">
        <v>87</v>
      </c>
      <c r="B56" t="s">
        <v>4</v>
      </c>
      <c r="C56">
        <v>2023</v>
      </c>
      <c r="D56" s="3">
        <v>595.82422444843598</v>
      </c>
      <c r="E56" s="3">
        <v>76811.211319798793</v>
      </c>
      <c r="F56" s="2">
        <v>7.7569955506593697E-3</v>
      </c>
      <c r="G56" s="2">
        <v>7.7569955506593697E-3</v>
      </c>
      <c r="H56" s="2">
        <v>7.3138057657031602E-3</v>
      </c>
      <c r="I56" s="1">
        <v>3.0625393305564699E-2</v>
      </c>
      <c r="J56" s="9">
        <v>0</v>
      </c>
    </row>
    <row r="57" spans="1:10" x14ac:dyDescent="0.35">
      <c r="A57" t="s">
        <v>93</v>
      </c>
      <c r="B57" t="s">
        <v>4</v>
      </c>
      <c r="C57">
        <v>2023</v>
      </c>
      <c r="D57" s="3">
        <v>190.836020201617</v>
      </c>
      <c r="E57" s="3">
        <v>71909.167279104498</v>
      </c>
      <c r="F57" s="2">
        <v>2.6538482841960398E-3</v>
      </c>
      <c r="G57" s="2">
        <v>2.6538482841960398E-3</v>
      </c>
      <c r="H57" s="2">
        <v>2.2616211307675601E-3</v>
      </c>
      <c r="I57" s="1">
        <v>1.3839171019953699E-2</v>
      </c>
      <c r="J57" s="9">
        <v>0</v>
      </c>
    </row>
    <row r="58" spans="1:10" x14ac:dyDescent="0.35">
      <c r="A58" t="s">
        <v>60</v>
      </c>
      <c r="B58" t="s">
        <v>4</v>
      </c>
      <c r="C58">
        <v>2023</v>
      </c>
      <c r="D58" s="3">
        <v>3352.1188206407001</v>
      </c>
      <c r="E58" s="4">
        <v>69846.481830698103</v>
      </c>
      <c r="F58" s="2">
        <v>4.7992665239259401E-2</v>
      </c>
      <c r="G58" s="2">
        <v>4.7992665239259401E-2</v>
      </c>
      <c r="H58" s="2">
        <v>4.13184073267132E-2</v>
      </c>
      <c r="I58" s="1">
        <v>0.15512198539327801</v>
      </c>
      <c r="J58" s="9">
        <v>0</v>
      </c>
    </row>
    <row r="59" spans="1:10" x14ac:dyDescent="0.35">
      <c r="A59" t="s">
        <v>105</v>
      </c>
      <c r="B59" t="s">
        <v>4</v>
      </c>
      <c r="C59">
        <v>2023</v>
      </c>
      <c r="D59" s="3">
        <v>11.958029859804901</v>
      </c>
      <c r="E59" s="3">
        <v>69376.969744625094</v>
      </c>
      <c r="F59" s="2">
        <v>1.7236310412262299E-4</v>
      </c>
      <c r="G59" s="2">
        <v>1.7236310412262299E-4</v>
      </c>
      <c r="H59" s="2">
        <v>1.7236310412262299E-4</v>
      </c>
      <c r="I59" s="2">
        <v>2.68859718488059E-3</v>
      </c>
      <c r="J59" s="9">
        <v>0</v>
      </c>
    </row>
    <row r="60" spans="1:10" x14ac:dyDescent="0.35">
      <c r="A60" t="s">
        <v>85</v>
      </c>
      <c r="B60" t="s">
        <v>4</v>
      </c>
      <c r="C60">
        <v>2023</v>
      </c>
      <c r="D60" s="3">
        <v>650.89476725068596</v>
      </c>
      <c r="E60" s="3">
        <v>68597.964503727198</v>
      </c>
      <c r="F60" s="2">
        <v>9.4885434569318694E-3</v>
      </c>
      <c r="G60" s="2">
        <v>9.4885434569318694E-3</v>
      </c>
      <c r="H60" s="2">
        <v>9.4607785584692097E-3</v>
      </c>
      <c r="I60" s="1">
        <v>8.9479947039402E-2</v>
      </c>
      <c r="J60" s="9">
        <v>0</v>
      </c>
    </row>
    <row r="61" spans="1:10" x14ac:dyDescent="0.35">
      <c r="A61" t="s">
        <v>62</v>
      </c>
      <c r="B61" t="s">
        <v>4</v>
      </c>
      <c r="C61">
        <v>2023</v>
      </c>
      <c r="D61" s="4">
        <v>3106.2704339457</v>
      </c>
      <c r="E61" s="3">
        <v>67336.622678902801</v>
      </c>
      <c r="F61" s="1">
        <v>4.6130475666385298E-2</v>
      </c>
      <c r="G61" s="1">
        <v>4.6130475666385298E-2</v>
      </c>
      <c r="H61" s="1">
        <v>4.5417475922463701E-2</v>
      </c>
      <c r="I61" s="1">
        <v>0.25493662441627701</v>
      </c>
      <c r="J61" s="9">
        <v>0</v>
      </c>
    </row>
    <row r="62" spans="1:10" x14ac:dyDescent="0.35">
      <c r="A62" t="s">
        <v>35</v>
      </c>
      <c r="B62" t="s">
        <v>4</v>
      </c>
      <c r="C62">
        <v>2023</v>
      </c>
      <c r="D62" s="3">
        <v>44992.111367227</v>
      </c>
      <c r="E62" s="3">
        <v>66758.308567077402</v>
      </c>
      <c r="F62" s="1">
        <v>0.673955232434025</v>
      </c>
      <c r="G62" s="1">
        <v>0.98455086795063795</v>
      </c>
      <c r="H62" s="1">
        <v>0.159148223936804</v>
      </c>
      <c r="I62" s="2">
        <v>0.29633650324952598</v>
      </c>
      <c r="J62" s="9">
        <v>1</v>
      </c>
    </row>
    <row r="63" spans="1:10" x14ac:dyDescent="0.35">
      <c r="A63" t="s">
        <v>17</v>
      </c>
      <c r="B63" t="s">
        <v>4</v>
      </c>
      <c r="C63">
        <v>2023</v>
      </c>
      <c r="D63" s="3">
        <v>102339.805653756</v>
      </c>
      <c r="E63" s="3">
        <v>64127.084125810099</v>
      </c>
      <c r="F63" s="2">
        <v>1.5958905203451601</v>
      </c>
      <c r="G63" s="2">
        <v>1.5958905203451601</v>
      </c>
      <c r="H63" s="1">
        <v>0.29316039839719199</v>
      </c>
      <c r="I63" s="1">
        <v>0.40148976504605199</v>
      </c>
      <c r="J63" s="9">
        <v>0</v>
      </c>
    </row>
    <row r="64" spans="1:10" x14ac:dyDescent="0.35">
      <c r="A64" t="s">
        <v>41</v>
      </c>
      <c r="B64" t="s">
        <v>4</v>
      </c>
      <c r="C64">
        <v>2023</v>
      </c>
      <c r="D64" s="3">
        <v>36827.706272293799</v>
      </c>
      <c r="E64" s="3">
        <v>57980.524055345202</v>
      </c>
      <c r="F64" s="1">
        <v>0.63517373932564003</v>
      </c>
      <c r="G64" s="1">
        <v>0.63517373932564003</v>
      </c>
      <c r="H64" s="1">
        <v>0.32704112966922599</v>
      </c>
      <c r="I64" s="1">
        <v>0.48556584405245701</v>
      </c>
      <c r="J64" s="9">
        <v>0</v>
      </c>
    </row>
    <row r="65" spans="1:10" x14ac:dyDescent="0.35">
      <c r="A65" t="s">
        <v>95</v>
      </c>
      <c r="B65" t="s">
        <v>4</v>
      </c>
      <c r="C65">
        <v>2023</v>
      </c>
      <c r="D65" s="3">
        <v>156.84964560491201</v>
      </c>
      <c r="E65" s="3">
        <v>56824.843504657299</v>
      </c>
      <c r="F65" s="2">
        <v>2.76023013758158E-3</v>
      </c>
      <c r="G65" s="2">
        <v>2.76023013758158E-3</v>
      </c>
      <c r="H65" s="2">
        <v>2.76023013758158E-3</v>
      </c>
      <c r="I65" s="1">
        <v>3.0264346596488401E-2</v>
      </c>
      <c r="J65" s="9">
        <v>0</v>
      </c>
    </row>
    <row r="66" spans="1:10" x14ac:dyDescent="0.35">
      <c r="A66" t="s">
        <v>103</v>
      </c>
      <c r="B66" t="s">
        <v>4</v>
      </c>
      <c r="C66">
        <v>2023</v>
      </c>
      <c r="D66" s="3">
        <v>27.423915302005099</v>
      </c>
      <c r="E66" s="3">
        <v>54916.863604696897</v>
      </c>
      <c r="F66" s="2">
        <v>4.99371477209772E-4</v>
      </c>
      <c r="G66" s="2">
        <v>4.99371477209772E-4</v>
      </c>
      <c r="H66" s="2">
        <v>4.99371477209772E-4</v>
      </c>
      <c r="I66" s="2">
        <v>1.1048863990040399E-2</v>
      </c>
      <c r="J66" s="9">
        <v>0</v>
      </c>
    </row>
    <row r="67" spans="1:10" x14ac:dyDescent="0.35">
      <c r="A67" t="s">
        <v>44</v>
      </c>
      <c r="B67" t="s">
        <v>4</v>
      </c>
      <c r="C67">
        <v>2023</v>
      </c>
      <c r="D67" s="3">
        <v>30126.619116998201</v>
      </c>
      <c r="E67" s="3">
        <v>54504.291826547298</v>
      </c>
      <c r="F67" s="1">
        <v>0.55273847448329705</v>
      </c>
      <c r="G67" s="1">
        <v>1.1777862604137701</v>
      </c>
      <c r="H67" s="1">
        <v>0.264530795857639</v>
      </c>
      <c r="I67" s="1">
        <v>0.62065892590359795</v>
      </c>
      <c r="J67" s="9">
        <v>1</v>
      </c>
    </row>
    <row r="68" spans="1:10" x14ac:dyDescent="0.35">
      <c r="A68" t="s">
        <v>55</v>
      </c>
      <c r="B68" t="s">
        <v>4</v>
      </c>
      <c r="C68">
        <v>2023</v>
      </c>
      <c r="D68" s="3">
        <v>7898.1206014044001</v>
      </c>
      <c r="E68" s="3">
        <v>51987.276444839401</v>
      </c>
      <c r="F68" s="1">
        <v>0.15192410800332301</v>
      </c>
      <c r="G68" s="1">
        <v>0.15192410800332301</v>
      </c>
      <c r="H68" s="1">
        <v>4.68364962566718E-2</v>
      </c>
      <c r="I68" s="1">
        <v>0.106291288802595</v>
      </c>
      <c r="J68" s="9">
        <v>0</v>
      </c>
    </row>
    <row r="69" spans="1:10" x14ac:dyDescent="0.35">
      <c r="A69" t="s">
        <v>22</v>
      </c>
      <c r="B69" t="s">
        <v>4</v>
      </c>
      <c r="C69">
        <v>2023</v>
      </c>
      <c r="D69" s="3">
        <v>77266.950871388006</v>
      </c>
      <c r="E69" s="3">
        <v>49459.582992420001</v>
      </c>
      <c r="F69" s="1">
        <v>1.5622240665318501</v>
      </c>
      <c r="G69" s="1">
        <v>1.5622240665318501</v>
      </c>
      <c r="H69" s="1">
        <v>0.30801521038110302</v>
      </c>
      <c r="I69" s="1">
        <v>0.45087920956736499</v>
      </c>
      <c r="J69" s="9">
        <v>0</v>
      </c>
    </row>
    <row r="70" spans="1:10" x14ac:dyDescent="0.35">
      <c r="A70" t="s">
        <v>32</v>
      </c>
      <c r="B70" t="s">
        <v>4</v>
      </c>
      <c r="C70">
        <v>2023</v>
      </c>
      <c r="D70" s="3">
        <v>53562.205469174201</v>
      </c>
      <c r="E70" s="3">
        <v>48316.419622861496</v>
      </c>
      <c r="F70" s="1">
        <v>1.10857149365079</v>
      </c>
      <c r="G70" s="1">
        <v>1.1086239336680399</v>
      </c>
      <c r="H70" s="1">
        <v>0.42280222557085401</v>
      </c>
      <c r="I70" s="1">
        <v>0.754684901127333</v>
      </c>
      <c r="J70" s="9">
        <v>0</v>
      </c>
    </row>
    <row r="71" spans="1:10" x14ac:dyDescent="0.35">
      <c r="A71" t="s">
        <v>77</v>
      </c>
      <c r="B71" t="s">
        <v>4</v>
      </c>
      <c r="C71">
        <v>2023</v>
      </c>
      <c r="D71" s="3">
        <v>1394.7443251244599</v>
      </c>
      <c r="E71" s="3">
        <v>48142.330975225697</v>
      </c>
      <c r="F71" s="1">
        <v>2.89712670091152E-2</v>
      </c>
      <c r="G71" s="1">
        <v>2.89712670091152E-2</v>
      </c>
      <c r="H71" s="1">
        <v>2.75419676446256E-2</v>
      </c>
      <c r="I71" s="1">
        <v>0.23634302984510699</v>
      </c>
      <c r="J71" s="9">
        <v>0</v>
      </c>
    </row>
    <row r="72" spans="1:10" x14ac:dyDescent="0.35">
      <c r="A72" t="s">
        <v>27</v>
      </c>
      <c r="B72" t="s">
        <v>4</v>
      </c>
      <c r="C72">
        <v>2023</v>
      </c>
      <c r="D72" s="4">
        <v>63034.114020742498</v>
      </c>
      <c r="E72" s="3">
        <v>44124.448673786297</v>
      </c>
      <c r="F72" s="1">
        <v>1.4285530112060001</v>
      </c>
      <c r="G72" s="1">
        <v>1.4285530112060001</v>
      </c>
      <c r="H72" s="1">
        <v>0.27027268382104203</v>
      </c>
      <c r="I72" s="1">
        <v>0.47195138063152298</v>
      </c>
      <c r="J72" s="9">
        <v>0</v>
      </c>
    </row>
    <row r="73" spans="1:10" x14ac:dyDescent="0.35">
      <c r="A73" t="s">
        <v>110</v>
      </c>
      <c r="B73" t="s">
        <v>4</v>
      </c>
      <c r="C73">
        <v>2023</v>
      </c>
      <c r="D73" s="3">
        <v>3.7576511973029998</v>
      </c>
      <c r="E73" s="3">
        <v>43432.305584462898</v>
      </c>
      <c r="F73" s="1">
        <v>8.6517423994346602E-5</v>
      </c>
      <c r="G73" s="1">
        <v>8.6517423994346602E-5</v>
      </c>
      <c r="H73" s="1">
        <v>8.6517423994346602E-5</v>
      </c>
      <c r="I73" s="2">
        <v>1.8987518498869099E-3</v>
      </c>
      <c r="J73" s="9">
        <v>0</v>
      </c>
    </row>
    <row r="74" spans="1:10" x14ac:dyDescent="0.35">
      <c r="A74" t="s">
        <v>68</v>
      </c>
      <c r="B74" t="s">
        <v>4</v>
      </c>
      <c r="C74">
        <v>2023</v>
      </c>
      <c r="D74" s="3">
        <v>1991.4827962065699</v>
      </c>
      <c r="E74" s="4">
        <v>42933.381325895702</v>
      </c>
      <c r="F74" s="1">
        <v>4.6385417004306401E-2</v>
      </c>
      <c r="G74" s="1">
        <v>4.6385417004306401E-2</v>
      </c>
      <c r="H74" s="1">
        <v>3.6502846453921198E-2</v>
      </c>
      <c r="I74" s="1">
        <v>9.8771738889012195E-2</v>
      </c>
      <c r="J74" s="9">
        <v>0</v>
      </c>
    </row>
    <row r="75" spans="1:10" x14ac:dyDescent="0.35">
      <c r="A75" t="s">
        <v>54</v>
      </c>
      <c r="B75" t="s">
        <v>4</v>
      </c>
      <c r="C75">
        <v>2023</v>
      </c>
      <c r="D75" s="3">
        <v>8682.6507052901907</v>
      </c>
      <c r="E75" s="3">
        <v>41500.789544582898</v>
      </c>
      <c r="F75" s="1">
        <v>0.209216518542682</v>
      </c>
      <c r="G75" s="1">
        <v>0.209216518542682</v>
      </c>
      <c r="H75" s="1">
        <v>6.6711979216369094E-2</v>
      </c>
      <c r="I75" s="1">
        <v>0.180067813029789</v>
      </c>
      <c r="J75" s="9">
        <v>1</v>
      </c>
    </row>
    <row r="76" spans="1:10" x14ac:dyDescent="0.35">
      <c r="A76" t="s">
        <v>109</v>
      </c>
      <c r="B76" t="s">
        <v>4</v>
      </c>
      <c r="C76">
        <v>2023</v>
      </c>
      <c r="D76" s="3">
        <v>7.4507000717380203</v>
      </c>
      <c r="E76" s="3">
        <v>40434.371487728902</v>
      </c>
      <c r="F76" s="2">
        <v>1.84266498961141E-4</v>
      </c>
      <c r="G76" s="2">
        <v>1.84266498961141E-4</v>
      </c>
      <c r="H76" s="2">
        <v>1.84266498961141E-4</v>
      </c>
      <c r="I76" s="2">
        <v>3.7988422575976799E-3</v>
      </c>
      <c r="J76" s="9">
        <v>0</v>
      </c>
    </row>
    <row r="77" spans="1:10" x14ac:dyDescent="0.35">
      <c r="A77" t="s">
        <v>96</v>
      </c>
      <c r="B77" t="s">
        <v>4</v>
      </c>
      <c r="C77">
        <v>2023</v>
      </c>
      <c r="D77" s="3">
        <v>153.34668758486501</v>
      </c>
      <c r="E77" s="3">
        <v>37754.314589475398</v>
      </c>
      <c r="F77" s="2">
        <v>4.0616996826003202E-3</v>
      </c>
      <c r="G77" s="2">
        <v>4.0616996826003202E-3</v>
      </c>
      <c r="H77" s="2">
        <v>3.55277988945702E-3</v>
      </c>
      <c r="I77" s="1">
        <v>1.5220207253886E-2</v>
      </c>
      <c r="J77" s="9">
        <v>0</v>
      </c>
    </row>
    <row r="78" spans="1:10" x14ac:dyDescent="0.35">
      <c r="A78" t="s">
        <v>79</v>
      </c>
      <c r="B78" t="s">
        <v>4</v>
      </c>
      <c r="C78">
        <v>2023</v>
      </c>
      <c r="D78" s="3">
        <v>1076.8153683342</v>
      </c>
      <c r="E78" s="3">
        <v>34998.678654235002</v>
      </c>
      <c r="F78" s="1">
        <v>3.07673149312996E-2</v>
      </c>
      <c r="G78" s="1">
        <v>3.07673149312996E-2</v>
      </c>
      <c r="H78" s="1">
        <v>3.0610320219495599E-2</v>
      </c>
      <c r="I78" s="1">
        <v>0.181872946330777</v>
      </c>
      <c r="J78" s="9">
        <v>0</v>
      </c>
    </row>
    <row r="79" spans="1:10" x14ac:dyDescent="0.35">
      <c r="A79" t="s">
        <v>23</v>
      </c>
      <c r="B79" t="s">
        <v>4</v>
      </c>
      <c r="C79">
        <v>2023</v>
      </c>
      <c r="D79" s="3">
        <v>72838.251870833701</v>
      </c>
      <c r="E79" s="3">
        <v>32825.511206673596</v>
      </c>
      <c r="F79" s="1">
        <v>2.2189525522461699</v>
      </c>
      <c r="G79" s="1">
        <v>2.2189525522461699</v>
      </c>
      <c r="H79" s="1">
        <v>0.47555308208519298</v>
      </c>
      <c r="I79" s="1">
        <v>0.61392128279883296</v>
      </c>
      <c r="J79" s="9">
        <v>0</v>
      </c>
    </row>
    <row r="80" spans="1:10" x14ac:dyDescent="0.35">
      <c r="A80" t="s">
        <v>114</v>
      </c>
      <c r="B80" t="s">
        <v>4</v>
      </c>
      <c r="C80">
        <v>2023</v>
      </c>
      <c r="D80" s="3">
        <v>0.57224776630176699</v>
      </c>
      <c r="E80" s="3">
        <v>32539.824985327701</v>
      </c>
      <c r="F80" s="1">
        <v>1.7586073882074999E-5</v>
      </c>
      <c r="G80" s="1">
        <v>1.7586073882074999E-5</v>
      </c>
      <c r="H80" s="1">
        <v>1.7586073882074999E-5</v>
      </c>
      <c r="I80" s="2">
        <v>3.3614700829162598E-4</v>
      </c>
      <c r="J80" s="9">
        <v>0</v>
      </c>
    </row>
    <row r="81" spans="1:10" x14ac:dyDescent="0.35">
      <c r="A81" t="s">
        <v>84</v>
      </c>
      <c r="B81" t="s">
        <v>4</v>
      </c>
      <c r="C81">
        <v>2023</v>
      </c>
      <c r="D81" s="3">
        <v>755.50585844793102</v>
      </c>
      <c r="E81" s="4">
        <v>31123.2612658693</v>
      </c>
      <c r="F81" s="1">
        <v>2.4274636645371099E-2</v>
      </c>
      <c r="G81" s="1">
        <v>2.4274636645371099E-2</v>
      </c>
      <c r="H81" s="1">
        <v>1.4382883421660501E-2</v>
      </c>
      <c r="I81" s="1">
        <v>0.13543262209240101</v>
      </c>
      <c r="J81" s="9">
        <v>0</v>
      </c>
    </row>
    <row r="82" spans="1:10" x14ac:dyDescent="0.35">
      <c r="A82" t="s">
        <v>108</v>
      </c>
      <c r="B82" t="s">
        <v>4</v>
      </c>
      <c r="C82">
        <v>2023</v>
      </c>
      <c r="D82" s="3">
        <v>9.9121883844338203</v>
      </c>
      <c r="E82" s="3">
        <v>30973.245365539598</v>
      </c>
      <c r="F82" s="2">
        <v>3.2002421016759001E-4</v>
      </c>
      <c r="G82" s="2">
        <v>3.2002421016759001E-4</v>
      </c>
      <c r="H82" s="2">
        <v>3.2002421016759001E-4</v>
      </c>
      <c r="I82" s="2">
        <v>6.8798373856617896E-3</v>
      </c>
      <c r="J82" s="9">
        <v>0</v>
      </c>
    </row>
    <row r="83" spans="1:10" x14ac:dyDescent="0.35">
      <c r="A83" t="s">
        <v>69</v>
      </c>
      <c r="B83" t="s">
        <v>4</v>
      </c>
      <c r="C83">
        <v>2023</v>
      </c>
      <c r="D83" s="3">
        <v>1944.7312769851401</v>
      </c>
      <c r="E83" s="3">
        <v>29921.651306819302</v>
      </c>
      <c r="F83" s="1">
        <v>6.4994116034696597E-2</v>
      </c>
      <c r="G83" s="1">
        <v>6.4994116034696597E-2</v>
      </c>
      <c r="H83" s="1">
        <v>6.4646635786564294E-2</v>
      </c>
      <c r="I83" s="2">
        <v>0.32036221243269702</v>
      </c>
      <c r="J83" s="9">
        <v>0</v>
      </c>
    </row>
    <row r="84" spans="1:10" x14ac:dyDescent="0.35">
      <c r="A84" t="s">
        <v>56</v>
      </c>
      <c r="B84" t="s">
        <v>4</v>
      </c>
      <c r="C84">
        <v>2023</v>
      </c>
      <c r="D84" s="3">
        <v>7132.7484198023403</v>
      </c>
      <c r="E84" s="3">
        <v>28798.906360282301</v>
      </c>
      <c r="F84" s="1">
        <v>0.24767428077197301</v>
      </c>
      <c r="G84" s="1">
        <v>0.31847606932720701</v>
      </c>
      <c r="H84" s="1">
        <v>0.20383712971349199</v>
      </c>
      <c r="I84" s="1">
        <v>0.54693606666174999</v>
      </c>
      <c r="J84" s="9">
        <v>1</v>
      </c>
    </row>
    <row r="85" spans="1:10" x14ac:dyDescent="0.35">
      <c r="A85" t="s">
        <v>48</v>
      </c>
      <c r="B85" t="s">
        <v>4</v>
      </c>
      <c r="C85">
        <v>2023</v>
      </c>
      <c r="D85" s="3">
        <v>13296.359559083799</v>
      </c>
      <c r="E85" s="3">
        <v>28788.378252653099</v>
      </c>
      <c r="F85" s="1">
        <v>0.46186552929074498</v>
      </c>
      <c r="G85" s="1">
        <v>0.46186552929074498</v>
      </c>
      <c r="H85" s="1">
        <v>0.28077417457776999</v>
      </c>
      <c r="I85" s="1">
        <v>0.50972198533174096</v>
      </c>
      <c r="J85" s="9">
        <v>0</v>
      </c>
    </row>
    <row r="86" spans="1:10" x14ac:dyDescent="0.35">
      <c r="A86" t="s">
        <v>89</v>
      </c>
      <c r="B86" t="s">
        <v>4</v>
      </c>
      <c r="C86">
        <v>2023</v>
      </c>
      <c r="D86" s="3">
        <v>303.90503345347599</v>
      </c>
      <c r="E86" s="3">
        <v>27763.213863086599</v>
      </c>
      <c r="F86" s="1">
        <v>1.09463203702631E-2</v>
      </c>
      <c r="G86" s="1">
        <v>1.09463203702631E-2</v>
      </c>
      <c r="H86" s="2">
        <v>7.2098583939259097E-3</v>
      </c>
      <c r="I86" s="1">
        <v>3.9734219269102901E-2</v>
      </c>
      <c r="J86" s="9">
        <v>0</v>
      </c>
    </row>
    <row r="87" spans="1:10" x14ac:dyDescent="0.35">
      <c r="A87" t="s">
        <v>65</v>
      </c>
      <c r="B87" t="s">
        <v>4</v>
      </c>
      <c r="C87">
        <v>2023</v>
      </c>
      <c r="D87" s="3">
        <v>2519.9580130540298</v>
      </c>
      <c r="E87" s="3">
        <v>27563.616937553699</v>
      </c>
      <c r="F87" s="2">
        <v>9.1423343270336604E-2</v>
      </c>
      <c r="G87" s="2">
        <v>9.1423343270336604E-2</v>
      </c>
      <c r="H87" s="1">
        <v>8.6842469407265199E-2</v>
      </c>
      <c r="I87" s="1">
        <v>0.35976305503629402</v>
      </c>
      <c r="J87" s="9">
        <v>1</v>
      </c>
    </row>
    <row r="88" spans="1:10" x14ac:dyDescent="0.35">
      <c r="A88" t="s">
        <v>83</v>
      </c>
      <c r="B88" t="s">
        <v>4</v>
      </c>
      <c r="C88">
        <v>2023</v>
      </c>
      <c r="D88" s="3">
        <v>820.59172175585195</v>
      </c>
      <c r="E88" s="3">
        <v>26262.664186383499</v>
      </c>
      <c r="F88" s="1">
        <v>3.1245562747640201E-2</v>
      </c>
      <c r="G88" s="1">
        <v>3.1245562747640201E-2</v>
      </c>
      <c r="H88" s="1">
        <v>2.73222032359655E-2</v>
      </c>
      <c r="I88" s="2">
        <v>0.14010407923451401</v>
      </c>
      <c r="J88" s="9">
        <v>1</v>
      </c>
    </row>
    <row r="89" spans="1:10" x14ac:dyDescent="0.35">
      <c r="A89" t="s">
        <v>64</v>
      </c>
      <c r="B89" t="s">
        <v>4</v>
      </c>
      <c r="C89">
        <v>2023</v>
      </c>
      <c r="D89" s="3">
        <v>2625.8830984977899</v>
      </c>
      <c r="E89" s="3">
        <v>25508.349881644899</v>
      </c>
      <c r="F89" s="1">
        <v>0.102942099770526</v>
      </c>
      <c r="G89" s="1">
        <v>0.102942099770526</v>
      </c>
      <c r="H89" s="1">
        <v>8.6880807790640793E-2</v>
      </c>
      <c r="I89" s="1">
        <v>0.29317558793824799</v>
      </c>
      <c r="J89" s="9">
        <v>0</v>
      </c>
    </row>
    <row r="90" spans="1:10" x14ac:dyDescent="0.35">
      <c r="A90" t="s">
        <v>115</v>
      </c>
      <c r="B90" t="s">
        <v>4</v>
      </c>
      <c r="C90">
        <v>2023</v>
      </c>
      <c r="D90" s="3">
        <v>0.42657812580503002</v>
      </c>
      <c r="E90" s="3">
        <v>22358.514722542401</v>
      </c>
      <c r="F90" s="1">
        <v>1.90790010471913E-5</v>
      </c>
      <c r="G90" s="1">
        <v>1.90790010471913E-5</v>
      </c>
      <c r="H90" s="1">
        <v>1.90790010471913E-5</v>
      </c>
      <c r="I90" s="2">
        <v>2.6845637583892599E-4</v>
      </c>
      <c r="J90" s="9">
        <v>0</v>
      </c>
    </row>
    <row r="91" spans="1:10" x14ac:dyDescent="0.35">
      <c r="A91" t="s">
        <v>74</v>
      </c>
      <c r="B91" t="s">
        <v>4</v>
      </c>
      <c r="C91">
        <v>2023</v>
      </c>
      <c r="D91" s="3">
        <v>1561.62776764672</v>
      </c>
      <c r="E91" s="3">
        <v>19219.018911789299</v>
      </c>
      <c r="F91" s="1">
        <v>8.1254291637581605E-2</v>
      </c>
      <c r="G91" s="1">
        <v>8.1254291637581605E-2</v>
      </c>
      <c r="H91" s="1">
        <v>3.0524877440308101E-2</v>
      </c>
      <c r="I91" s="1">
        <v>6.7207537293902095E-2</v>
      </c>
      <c r="J91" s="9">
        <v>1</v>
      </c>
    </row>
    <row r="92" spans="1:10" x14ac:dyDescent="0.35">
      <c r="A92" t="s">
        <v>112</v>
      </c>
      <c r="B92" t="s">
        <v>4</v>
      </c>
      <c r="C92">
        <v>2023</v>
      </c>
      <c r="D92" s="3">
        <v>2.41820279663985</v>
      </c>
      <c r="E92" s="3">
        <v>18217.176499844001</v>
      </c>
      <c r="F92" s="2">
        <v>1.3274300749408399E-4</v>
      </c>
      <c r="G92" s="2">
        <v>1.3274300749408399E-4</v>
      </c>
      <c r="H92" s="2">
        <v>1.3274300749408399E-4</v>
      </c>
      <c r="I92" s="2">
        <v>2.7021549685874399E-3</v>
      </c>
      <c r="J92" s="9">
        <v>0</v>
      </c>
    </row>
    <row r="93" spans="1:10" x14ac:dyDescent="0.35">
      <c r="A93" t="s">
        <v>94</v>
      </c>
      <c r="B93" t="s">
        <v>4</v>
      </c>
      <c r="C93">
        <v>2023</v>
      </c>
      <c r="D93" s="3">
        <v>168.23767599595001</v>
      </c>
      <c r="E93" s="3">
        <v>18139.541509118601</v>
      </c>
      <c r="F93" s="2">
        <v>9.2746377250703099E-3</v>
      </c>
      <c r="G93" s="2">
        <v>9.2746377250703099E-3</v>
      </c>
      <c r="H93" s="2">
        <v>8.4574629931465604E-3</v>
      </c>
      <c r="I93" s="1">
        <v>4.1573218095290097E-2</v>
      </c>
      <c r="J93" s="9">
        <v>0</v>
      </c>
    </row>
    <row r="94" spans="1:10" x14ac:dyDescent="0.35">
      <c r="A94" t="s">
        <v>91</v>
      </c>
      <c r="B94" t="s">
        <v>4</v>
      </c>
      <c r="C94">
        <v>2023</v>
      </c>
      <c r="D94" s="3">
        <v>240.64677426999</v>
      </c>
      <c r="E94" s="3">
        <v>15835.073466669701</v>
      </c>
      <c r="F94" s="1">
        <v>1.5197073431740701E-2</v>
      </c>
      <c r="G94" s="1">
        <v>1.5197073431740701E-2</v>
      </c>
      <c r="H94" s="1">
        <v>1.5197073431740701E-2</v>
      </c>
      <c r="I94" s="1">
        <v>0.13754070398511301</v>
      </c>
      <c r="J94" s="9">
        <v>0</v>
      </c>
    </row>
    <row r="95" spans="1:10" x14ac:dyDescent="0.35">
      <c r="A95" t="s">
        <v>51</v>
      </c>
      <c r="B95" t="s">
        <v>4</v>
      </c>
      <c r="C95">
        <v>2023</v>
      </c>
      <c r="D95" s="3">
        <v>9471.1130273488398</v>
      </c>
      <c r="E95" s="3">
        <v>15339.2575875565</v>
      </c>
      <c r="F95" s="2">
        <v>0.61744272650013599</v>
      </c>
      <c r="G95" s="2">
        <v>0.61744272650013599</v>
      </c>
      <c r="H95" s="1">
        <v>0.23956728169380601</v>
      </c>
      <c r="I95" s="1">
        <v>0.44312433831313902</v>
      </c>
      <c r="J95" s="9">
        <v>0</v>
      </c>
    </row>
    <row r="96" spans="1:10" x14ac:dyDescent="0.35">
      <c r="A96" t="s">
        <v>58</v>
      </c>
      <c r="B96" t="s">
        <v>4</v>
      </c>
      <c r="C96">
        <v>2023</v>
      </c>
      <c r="D96" s="3">
        <v>5065.3356356039103</v>
      </c>
      <c r="E96" s="3">
        <v>12817.4503622389</v>
      </c>
      <c r="F96" s="1">
        <v>0.39519057944056502</v>
      </c>
      <c r="G96" s="1">
        <v>0.39519057944056502</v>
      </c>
      <c r="H96" s="1">
        <v>0.13690833522922499</v>
      </c>
      <c r="I96" s="1">
        <v>0.27535258562793802</v>
      </c>
      <c r="J96" s="9">
        <v>0</v>
      </c>
    </row>
    <row r="97" spans="1:10" x14ac:dyDescent="0.35">
      <c r="A97" t="s">
        <v>50</v>
      </c>
      <c r="B97" t="s">
        <v>4</v>
      </c>
      <c r="C97">
        <v>2023</v>
      </c>
      <c r="D97" s="3">
        <v>9792.4252980415895</v>
      </c>
      <c r="E97" s="3">
        <v>11535.9835164795</v>
      </c>
      <c r="F97" s="1">
        <v>0.84885916177435605</v>
      </c>
      <c r="G97" s="1">
        <v>0.84885916177435605</v>
      </c>
      <c r="H97" s="1">
        <v>0.296964072582167</v>
      </c>
      <c r="I97" s="1">
        <v>0.481361949330321</v>
      </c>
      <c r="J97" s="9">
        <v>0</v>
      </c>
    </row>
    <row r="98" spans="1:10" x14ac:dyDescent="0.35">
      <c r="A98" t="s">
        <v>102</v>
      </c>
      <c r="B98" t="s">
        <v>4</v>
      </c>
      <c r="C98">
        <v>2023</v>
      </c>
      <c r="D98" s="3">
        <v>34.734980050150398</v>
      </c>
      <c r="E98" s="3">
        <v>11465.436724442699</v>
      </c>
      <c r="F98" s="2">
        <v>3.0295383320288298E-3</v>
      </c>
      <c r="G98" s="2">
        <v>3.0295383320288298E-3</v>
      </c>
      <c r="H98" s="2">
        <v>3.0295383320288298E-3</v>
      </c>
      <c r="I98" s="1">
        <v>3.4028892455858703E-2</v>
      </c>
      <c r="J98" s="9">
        <v>0</v>
      </c>
    </row>
    <row r="99" spans="1:10" x14ac:dyDescent="0.35">
      <c r="A99" t="s">
        <v>98</v>
      </c>
      <c r="B99" t="s">
        <v>4</v>
      </c>
      <c r="C99">
        <v>2023</v>
      </c>
      <c r="D99" s="3">
        <v>140.467893428987</v>
      </c>
      <c r="E99" s="3">
        <v>11005.5893241299</v>
      </c>
      <c r="F99" s="1">
        <v>1.2763323188973399E-2</v>
      </c>
      <c r="G99" s="1">
        <v>1.2763323188973399E-2</v>
      </c>
      <c r="H99" s="1">
        <v>1.25379872988685E-2</v>
      </c>
      <c r="I99" s="1">
        <v>0.10389991203205901</v>
      </c>
      <c r="J99" s="9">
        <v>0</v>
      </c>
    </row>
    <row r="100" spans="1:10" x14ac:dyDescent="0.35">
      <c r="A100" t="s">
        <v>59</v>
      </c>
      <c r="B100" t="s">
        <v>4</v>
      </c>
      <c r="C100">
        <v>2023</v>
      </c>
      <c r="D100" s="3">
        <v>4022.2522085742798</v>
      </c>
      <c r="E100" s="3">
        <v>10226.2781561711</v>
      </c>
      <c r="F100" s="2">
        <v>0.39332513228647298</v>
      </c>
      <c r="G100" s="2">
        <v>0.39332513228647298</v>
      </c>
      <c r="H100" s="1">
        <v>0.103697801210429</v>
      </c>
      <c r="I100" s="1">
        <v>0.21313640730067199</v>
      </c>
      <c r="J100" s="9">
        <v>0</v>
      </c>
    </row>
    <row r="101" spans="1:10" x14ac:dyDescent="0.35">
      <c r="A101" t="s">
        <v>81</v>
      </c>
      <c r="B101" t="s">
        <v>4</v>
      </c>
      <c r="C101">
        <v>2023</v>
      </c>
      <c r="D101" s="3">
        <v>924.72287884256798</v>
      </c>
      <c r="E101" s="3">
        <v>8422.6177635226795</v>
      </c>
      <c r="F101" s="1">
        <v>0.10979043627593101</v>
      </c>
      <c r="G101" s="1">
        <v>0.10979043627593101</v>
      </c>
      <c r="H101" s="1">
        <v>1.74820657022484E-2</v>
      </c>
      <c r="I101" s="1">
        <v>3.2025016174250499E-2</v>
      </c>
      <c r="J101" s="9">
        <v>0</v>
      </c>
    </row>
    <row r="102" spans="1:10" x14ac:dyDescent="0.35">
      <c r="A102" t="s">
        <v>101</v>
      </c>
      <c r="B102" t="s">
        <v>4</v>
      </c>
      <c r="C102">
        <v>2023</v>
      </c>
      <c r="D102" s="3">
        <v>71.217024234627402</v>
      </c>
      <c r="E102" s="3">
        <v>7422.0511452520304</v>
      </c>
      <c r="F102" s="2">
        <v>9.5953292211123694E-3</v>
      </c>
      <c r="G102" s="2">
        <v>9.5953292211123694E-3</v>
      </c>
      <c r="H102" s="2">
        <v>9.5953292211123694E-3</v>
      </c>
      <c r="I102" s="1">
        <v>0.14400476048795</v>
      </c>
      <c r="J102" s="9">
        <v>0</v>
      </c>
    </row>
    <row r="103" spans="1:10" x14ac:dyDescent="0.35">
      <c r="A103" t="s">
        <v>78</v>
      </c>
      <c r="B103" t="s">
        <v>4</v>
      </c>
      <c r="C103">
        <v>2023</v>
      </c>
      <c r="D103" s="3">
        <v>1082.9314101385701</v>
      </c>
      <c r="E103" s="3">
        <v>7245.7386181802904</v>
      </c>
      <c r="F103" s="1">
        <v>0.14945769744182899</v>
      </c>
      <c r="G103" s="1">
        <v>0.14945769744182899</v>
      </c>
      <c r="H103" s="1">
        <v>7.2483812149016696E-2</v>
      </c>
      <c r="I103" s="1">
        <v>0.161030364081162</v>
      </c>
      <c r="J103" s="9">
        <v>0</v>
      </c>
    </row>
    <row r="104" spans="1:10" x14ac:dyDescent="0.35">
      <c r="A104" t="s">
        <v>97</v>
      </c>
      <c r="B104" t="s">
        <v>4</v>
      </c>
      <c r="C104">
        <v>2023</v>
      </c>
      <c r="D104" s="3">
        <v>150.00264218280199</v>
      </c>
      <c r="E104" s="3">
        <v>6657.9184498678096</v>
      </c>
      <c r="F104" s="1">
        <v>2.2529960874750701E-2</v>
      </c>
      <c r="G104" s="1">
        <v>2.2529960874750701E-2</v>
      </c>
      <c r="H104" s="1">
        <v>2.17207615441752E-2</v>
      </c>
      <c r="I104" s="1">
        <v>6.7367763431903302E-2</v>
      </c>
      <c r="J104" s="9">
        <v>1</v>
      </c>
    </row>
    <row r="105" spans="1:10" x14ac:dyDescent="0.35">
      <c r="A105" t="s">
        <v>49</v>
      </c>
      <c r="B105" t="s">
        <v>4</v>
      </c>
      <c r="C105">
        <v>2023</v>
      </c>
      <c r="D105" s="3">
        <v>11378.671192505</v>
      </c>
      <c r="E105" s="3">
        <v>6111.9337850397897</v>
      </c>
      <c r="F105" s="1">
        <v>1.8617137542223701</v>
      </c>
      <c r="G105" s="1">
        <v>1.8617137542223701</v>
      </c>
      <c r="H105" s="1">
        <v>0.52449206595511</v>
      </c>
      <c r="I105" s="1">
        <v>0.76696743821106295</v>
      </c>
      <c r="J105" s="9">
        <v>0</v>
      </c>
    </row>
    <row r="106" spans="1:10" x14ac:dyDescent="0.35">
      <c r="A106" t="s">
        <v>66</v>
      </c>
      <c r="B106" t="s">
        <v>4</v>
      </c>
      <c r="C106">
        <v>2023</v>
      </c>
      <c r="D106" s="3">
        <v>2156.2580036223899</v>
      </c>
      <c r="E106" s="3">
        <v>5449.5391388934504</v>
      </c>
      <c r="F106" s="1">
        <v>0.39567712950864797</v>
      </c>
      <c r="G106" s="1">
        <v>0.39567712950864797</v>
      </c>
      <c r="H106" s="1">
        <v>0.24748677007127801</v>
      </c>
      <c r="I106" s="1">
        <v>0.56361494446314298</v>
      </c>
      <c r="J106" s="9">
        <v>0</v>
      </c>
    </row>
    <row r="107" spans="1:10" x14ac:dyDescent="0.35">
      <c r="A107" t="s">
        <v>67</v>
      </c>
      <c r="B107" t="s">
        <v>4</v>
      </c>
      <c r="C107">
        <v>2023</v>
      </c>
      <c r="D107" s="3">
        <v>2042.0335376584301</v>
      </c>
      <c r="E107" s="3">
        <v>4660.4308205669904</v>
      </c>
      <c r="F107" s="1">
        <v>0.43816411320745702</v>
      </c>
      <c r="G107" s="1">
        <v>0.43816411320745702</v>
      </c>
      <c r="H107" s="1">
        <v>0.24838827318255699</v>
      </c>
      <c r="I107" s="1">
        <v>0.35094637223974701</v>
      </c>
      <c r="J107" s="9">
        <v>0</v>
      </c>
    </row>
    <row r="108" spans="1:10" x14ac:dyDescent="0.35">
      <c r="A108" t="s">
        <v>107</v>
      </c>
      <c r="B108" t="s">
        <v>4</v>
      </c>
      <c r="C108">
        <v>2023</v>
      </c>
      <c r="D108" s="3">
        <v>10.597247229751099</v>
      </c>
      <c r="E108" s="3">
        <v>3911.2849714919198</v>
      </c>
      <c r="F108" s="2">
        <v>2.70940299850075E-3</v>
      </c>
      <c r="G108" s="2">
        <v>2.70940299850075E-3</v>
      </c>
      <c r="H108" s="2">
        <v>2.70940299850075E-3</v>
      </c>
      <c r="I108" s="1">
        <v>1.53460695270905E-2</v>
      </c>
      <c r="J108" s="9">
        <v>0</v>
      </c>
    </row>
    <row r="109" spans="1:10" x14ac:dyDescent="0.35">
      <c r="A109" t="s">
        <v>52</v>
      </c>
      <c r="B109" t="s">
        <v>4</v>
      </c>
      <c r="C109">
        <v>2023</v>
      </c>
      <c r="D109" s="3">
        <v>9266.5420499475003</v>
      </c>
      <c r="E109" s="3">
        <v>3379.20614299824</v>
      </c>
      <c r="F109" s="1">
        <v>2.7422245515112702</v>
      </c>
      <c r="G109" s="1">
        <v>5.3775841889493998</v>
      </c>
      <c r="H109" s="1">
        <v>0.77539731804305301</v>
      </c>
      <c r="I109" s="1">
        <v>0.91074267544855703</v>
      </c>
      <c r="J109" s="9">
        <v>1</v>
      </c>
    </row>
    <row r="110" spans="1:10" x14ac:dyDescent="0.35">
      <c r="A110" t="s">
        <v>92</v>
      </c>
      <c r="B110" t="s">
        <v>4</v>
      </c>
      <c r="C110">
        <v>2023</v>
      </c>
      <c r="D110" s="3">
        <v>223.27086691022799</v>
      </c>
      <c r="E110" s="3">
        <v>3275.40559509276</v>
      </c>
      <c r="F110" s="1">
        <v>6.8165868448394396E-2</v>
      </c>
      <c r="G110" s="1">
        <v>6.8165868448394396E-2</v>
      </c>
      <c r="H110" s="1">
        <v>3.0235476874607901E-2</v>
      </c>
      <c r="I110" s="1">
        <v>7.3006134969325107E-2</v>
      </c>
      <c r="J110" s="9">
        <v>0</v>
      </c>
    </row>
    <row r="111" spans="1:10" x14ac:dyDescent="0.35">
      <c r="A111" t="s">
        <v>82</v>
      </c>
      <c r="B111" t="s">
        <v>4</v>
      </c>
      <c r="C111">
        <v>2023</v>
      </c>
      <c r="D111" s="3">
        <v>899.49293386732495</v>
      </c>
      <c r="E111" s="3">
        <v>1456.8235109739901</v>
      </c>
      <c r="F111" s="1">
        <v>0.61743438864873001</v>
      </c>
      <c r="G111" s="1">
        <v>0.61743438864873001</v>
      </c>
      <c r="H111" s="1">
        <v>0.18683090402546801</v>
      </c>
      <c r="I111" s="1">
        <v>0.33978132884777101</v>
      </c>
      <c r="J111" s="9">
        <v>0</v>
      </c>
    </row>
    <row r="112" spans="1:10" x14ac:dyDescent="0.35">
      <c r="A112" t="s">
        <v>106</v>
      </c>
      <c r="B112" t="s">
        <v>4</v>
      </c>
      <c r="C112">
        <v>2023</v>
      </c>
      <c r="D112" s="3">
        <v>11.618500103011799</v>
      </c>
      <c r="E112" s="3">
        <v>1155.20620937021</v>
      </c>
      <c r="F112" s="1">
        <v>1.0057511818038E-2</v>
      </c>
      <c r="G112" s="1">
        <v>1.0057511818038E-2</v>
      </c>
      <c r="H112" s="1">
        <v>1.0057511818038E-2</v>
      </c>
      <c r="I112" s="2">
        <v>7.4999999999999997E-2</v>
      </c>
      <c r="J112" s="9">
        <v>0</v>
      </c>
    </row>
    <row r="113" spans="1:10" x14ac:dyDescent="0.35">
      <c r="A113" t="s">
        <v>99</v>
      </c>
      <c r="B113" t="s">
        <v>4</v>
      </c>
      <c r="C113">
        <v>2023</v>
      </c>
      <c r="D113" s="3">
        <v>131.148523642724</v>
      </c>
      <c r="E113" s="3">
        <v>631.91396416726798</v>
      </c>
      <c r="F113" s="1">
        <v>0.20754173998283301</v>
      </c>
      <c r="G113" s="1">
        <v>0.20754173998283301</v>
      </c>
      <c r="H113" s="1">
        <v>7.1672009076030996E-2</v>
      </c>
      <c r="I113" s="1">
        <v>0.15984405458089601</v>
      </c>
      <c r="J113" s="9">
        <v>0</v>
      </c>
    </row>
    <row r="114" spans="1:10" x14ac:dyDescent="0.35">
      <c r="A114" t="s">
        <v>80</v>
      </c>
      <c r="B114" t="s">
        <v>4</v>
      </c>
      <c r="C114">
        <v>2023</v>
      </c>
      <c r="D114" s="3">
        <v>931.50132546312705</v>
      </c>
      <c r="E114" s="3">
        <v>177.67855676903301</v>
      </c>
      <c r="F114" s="1">
        <v>5.2426209577670004</v>
      </c>
      <c r="G114" s="2">
        <v>7.0329743530139401</v>
      </c>
      <c r="H114" s="1">
        <v>0.75411127056906002</v>
      </c>
      <c r="I114" s="1">
        <v>0.93203883495145601</v>
      </c>
      <c r="J114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7591-1885-465F-8BAD-D063256FF0D9}">
  <dimension ref="A1:B17"/>
  <sheetViews>
    <sheetView topLeftCell="A10" zoomScale="144" zoomScaleNormal="144" workbookViewId="0">
      <selection activeCell="A19" sqref="A19"/>
    </sheetView>
  </sheetViews>
  <sheetFormatPr defaultRowHeight="14.5" x14ac:dyDescent="0.35"/>
  <cols>
    <col min="1" max="1" width="17.7265625" customWidth="1"/>
  </cols>
  <sheetData>
    <row r="1" spans="1:2" x14ac:dyDescent="0.35">
      <c r="A1" t="s">
        <v>133</v>
      </c>
      <c r="B1" t="s">
        <v>134</v>
      </c>
    </row>
    <row r="2" spans="1:2" x14ac:dyDescent="0.35">
      <c r="A2" t="s">
        <v>136</v>
      </c>
      <c r="B2" t="s">
        <v>102</v>
      </c>
    </row>
    <row r="3" spans="1:2" x14ac:dyDescent="0.35">
      <c r="A3" t="s">
        <v>135</v>
      </c>
      <c r="B3" t="s">
        <v>104</v>
      </c>
    </row>
    <row r="4" spans="1:2" x14ac:dyDescent="0.35">
      <c r="A4" t="s">
        <v>137</v>
      </c>
      <c r="B4" t="s">
        <v>110</v>
      </c>
    </row>
    <row r="5" spans="1:2" x14ac:dyDescent="0.35">
      <c r="A5" t="s">
        <v>138</v>
      </c>
      <c r="B5" t="s">
        <v>72</v>
      </c>
    </row>
    <row r="6" spans="1:2" x14ac:dyDescent="0.35">
      <c r="A6" t="s">
        <v>139</v>
      </c>
      <c r="B6" t="s">
        <v>91</v>
      </c>
    </row>
    <row r="7" spans="1:2" x14ac:dyDescent="0.35">
      <c r="A7" t="s">
        <v>140</v>
      </c>
      <c r="B7" t="s">
        <v>68</v>
      </c>
    </row>
    <row r="8" spans="1:2" x14ac:dyDescent="0.35">
      <c r="A8" t="s">
        <v>141</v>
      </c>
      <c r="B8" t="s">
        <v>67</v>
      </c>
    </row>
    <row r="9" spans="1:2" x14ac:dyDescent="0.35">
      <c r="A9" t="s">
        <v>142</v>
      </c>
      <c r="B9" t="s">
        <v>59</v>
      </c>
    </row>
    <row r="10" spans="1:2" x14ac:dyDescent="0.35">
      <c r="A10" t="s">
        <v>143</v>
      </c>
      <c r="B10" t="s">
        <v>8</v>
      </c>
    </row>
    <row r="11" spans="1:2" x14ac:dyDescent="0.35">
      <c r="A11" t="s">
        <v>144</v>
      </c>
      <c r="B11" t="s">
        <v>5</v>
      </c>
    </row>
    <row r="12" spans="1:2" x14ac:dyDescent="0.35">
      <c r="A12" t="s">
        <v>145</v>
      </c>
      <c r="B12" t="s">
        <v>92</v>
      </c>
    </row>
    <row r="13" spans="1:2" x14ac:dyDescent="0.35">
      <c r="A13" t="s">
        <v>146</v>
      </c>
      <c r="B13" t="s">
        <v>7</v>
      </c>
    </row>
    <row r="14" spans="1:2" x14ac:dyDescent="0.35">
      <c r="A14" t="s">
        <v>147</v>
      </c>
      <c r="B14" t="s">
        <v>96</v>
      </c>
    </row>
    <row r="15" spans="1:2" x14ac:dyDescent="0.35">
      <c r="A15" t="s">
        <v>148</v>
      </c>
      <c r="B15" t="s">
        <v>14</v>
      </c>
    </row>
    <row r="16" spans="1:2" x14ac:dyDescent="0.35">
      <c r="A16" t="s">
        <v>149</v>
      </c>
      <c r="B16" t="s">
        <v>71</v>
      </c>
    </row>
    <row r="17" spans="1:2" x14ac:dyDescent="0.35">
      <c r="A17" t="s">
        <v>150</v>
      </c>
      <c r="B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gfw_trawl_model_eez_sar_v202407</vt:lpstr>
      <vt:lpstr>ForR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Hilborn</dc:creator>
  <cp:lastModifiedBy>Ray Hilborn</cp:lastModifiedBy>
  <dcterms:created xsi:type="dcterms:W3CDTF">2026-04-15T15:42:31Z</dcterms:created>
  <dcterms:modified xsi:type="dcterms:W3CDTF">2026-04-25T22:36:21Z</dcterms:modified>
</cp:coreProperties>
</file>